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CORRALJO\Downloads\"/>
    </mc:Choice>
  </mc:AlternateContent>
  <xr:revisionPtr revIDLastSave="0" documentId="13_ncr:1_{A7694D87-C33B-410F-AF03-A217EBC54474}" xr6:coauthVersionLast="36" xr6:coauthVersionMax="47" xr10:uidLastSave="{00000000-0000-0000-0000-000000000000}"/>
  <bookViews>
    <workbookView xWindow="-105" yWindow="-105" windowWidth="23250" windowHeight="12450" firstSheet="1" activeTab="1" xr2:uid="{B15AEF81-4E80-478A-B8B3-98CF8D4FD3D2}"/>
  </bookViews>
  <sheets>
    <sheet name="RALLY X SUC" sheetId="1" state="hidden" r:id="rId1"/>
    <sheet name="ASOCIADOS GANADORES" sheetId="2" r:id="rId2"/>
  </sheets>
  <definedNames>
    <definedName name="_xlnm._FilterDatabase" localSheetId="1" hidden="1">'ASOCIADOS GANADORES'!$A$1:$E$749</definedName>
    <definedName name="_xlnm._FilterDatabase" localSheetId="0" hidden="1">'RALLY X SUC'!$A$1:$T$446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ARRAYTEXT_WF"/>
        <xcalcf:feature name="microsoft.com:CNMTM"/>
        <xcalcf:feature name="microsoft.com:LAMBDA_WF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T2" i="1" l="1"/>
  <c r="S2" i="1"/>
  <c r="O2" i="1" l="1"/>
  <c r="N2" i="1"/>
  <c r="P446" i="1"/>
  <c r="P445" i="1"/>
  <c r="P444" i="1"/>
  <c r="P443" i="1"/>
  <c r="P442" i="1"/>
  <c r="P441" i="1"/>
  <c r="P440" i="1"/>
  <c r="P439" i="1"/>
  <c r="P438" i="1"/>
  <c r="P437" i="1"/>
  <c r="P436" i="1"/>
  <c r="P435" i="1"/>
  <c r="P434" i="1"/>
  <c r="P433" i="1"/>
  <c r="P432" i="1"/>
  <c r="P431" i="1"/>
  <c r="P430" i="1"/>
  <c r="P429" i="1"/>
  <c r="P428" i="1"/>
  <c r="P427" i="1"/>
  <c r="P426" i="1"/>
  <c r="P425" i="1"/>
  <c r="P424" i="1"/>
  <c r="P423" i="1"/>
  <c r="P422" i="1"/>
  <c r="P421" i="1"/>
  <c r="P420" i="1"/>
  <c r="P419" i="1"/>
  <c r="P418" i="1"/>
  <c r="P417" i="1"/>
  <c r="P416" i="1"/>
  <c r="P415" i="1"/>
  <c r="P414" i="1"/>
  <c r="P413" i="1"/>
  <c r="P412" i="1"/>
  <c r="P411" i="1"/>
  <c r="P410" i="1"/>
  <c r="P409" i="1"/>
  <c r="P408" i="1"/>
  <c r="P407" i="1"/>
  <c r="P406" i="1"/>
  <c r="P405" i="1"/>
  <c r="P404" i="1"/>
  <c r="P403" i="1"/>
  <c r="P402" i="1"/>
  <c r="P401" i="1"/>
  <c r="P400" i="1"/>
  <c r="P399" i="1"/>
  <c r="P398" i="1"/>
  <c r="P397" i="1"/>
  <c r="P396" i="1"/>
  <c r="P395" i="1"/>
  <c r="P394" i="1"/>
  <c r="P393" i="1"/>
  <c r="P392" i="1"/>
  <c r="P391" i="1"/>
  <c r="P390" i="1"/>
  <c r="P389" i="1"/>
  <c r="P388" i="1"/>
  <c r="P387" i="1"/>
  <c r="P386" i="1"/>
  <c r="P385" i="1"/>
  <c r="P384" i="1"/>
  <c r="P383" i="1"/>
  <c r="P382" i="1"/>
  <c r="P381" i="1"/>
  <c r="P380" i="1"/>
  <c r="P379" i="1"/>
  <c r="P378" i="1"/>
  <c r="P377" i="1"/>
  <c r="P376" i="1"/>
  <c r="P375" i="1"/>
  <c r="P374" i="1"/>
  <c r="P373" i="1"/>
  <c r="P372" i="1"/>
  <c r="P371" i="1"/>
  <c r="P370" i="1"/>
  <c r="P369" i="1"/>
  <c r="P368" i="1"/>
  <c r="P367" i="1"/>
  <c r="P366" i="1"/>
  <c r="P365" i="1"/>
  <c r="P364" i="1"/>
  <c r="P363" i="1"/>
  <c r="P362" i="1"/>
  <c r="P361" i="1"/>
  <c r="P360" i="1"/>
  <c r="P359" i="1"/>
  <c r="P358" i="1"/>
  <c r="P357" i="1"/>
  <c r="P356" i="1"/>
  <c r="P355" i="1"/>
  <c r="P354" i="1"/>
  <c r="P353" i="1"/>
  <c r="P352" i="1"/>
  <c r="P351" i="1"/>
  <c r="P350" i="1"/>
  <c r="P349" i="1"/>
  <c r="P348" i="1"/>
  <c r="P347" i="1"/>
  <c r="P346" i="1"/>
  <c r="P345" i="1"/>
  <c r="P344" i="1"/>
  <c r="P343" i="1"/>
  <c r="P342" i="1"/>
  <c r="P341" i="1"/>
  <c r="P340" i="1"/>
  <c r="P339" i="1"/>
  <c r="P338" i="1"/>
  <c r="P337" i="1"/>
  <c r="P336" i="1"/>
  <c r="P335" i="1"/>
  <c r="P334" i="1"/>
  <c r="P333" i="1"/>
  <c r="P332" i="1"/>
  <c r="P331" i="1"/>
  <c r="P330" i="1"/>
  <c r="P329" i="1"/>
  <c r="P328" i="1"/>
  <c r="P327" i="1"/>
  <c r="P326" i="1"/>
  <c r="P325" i="1"/>
  <c r="P324" i="1"/>
  <c r="P323" i="1"/>
  <c r="P322" i="1"/>
  <c r="P321" i="1"/>
  <c r="P320" i="1"/>
  <c r="P319" i="1"/>
  <c r="P318" i="1"/>
  <c r="P317" i="1"/>
  <c r="P316" i="1"/>
  <c r="P315" i="1"/>
  <c r="P314" i="1"/>
  <c r="P313" i="1"/>
  <c r="P312" i="1"/>
  <c r="P311" i="1"/>
  <c r="P310" i="1"/>
  <c r="P309" i="1"/>
  <c r="P308" i="1"/>
  <c r="P307" i="1"/>
  <c r="P306" i="1"/>
  <c r="P305" i="1"/>
  <c r="P304" i="1"/>
  <c r="P303" i="1"/>
  <c r="P302" i="1"/>
  <c r="P301" i="1"/>
  <c r="P300" i="1"/>
  <c r="P299" i="1"/>
  <c r="P298" i="1"/>
  <c r="P297" i="1"/>
  <c r="P296" i="1"/>
  <c r="P295" i="1"/>
  <c r="P294" i="1"/>
  <c r="P293" i="1"/>
  <c r="P292" i="1"/>
  <c r="P291" i="1"/>
  <c r="P290" i="1"/>
  <c r="P289" i="1"/>
  <c r="P288" i="1"/>
  <c r="P287" i="1"/>
  <c r="P286" i="1"/>
  <c r="P285" i="1"/>
  <c r="P284" i="1"/>
  <c r="P283" i="1"/>
  <c r="P282" i="1"/>
  <c r="P281" i="1"/>
  <c r="P280" i="1"/>
  <c r="P279" i="1"/>
  <c r="P278" i="1"/>
  <c r="P277" i="1"/>
  <c r="P276" i="1"/>
  <c r="P275" i="1"/>
  <c r="P274" i="1"/>
  <c r="P273" i="1"/>
  <c r="P272" i="1"/>
  <c r="P271" i="1"/>
  <c r="P270" i="1"/>
  <c r="P269" i="1"/>
  <c r="P268" i="1"/>
  <c r="P267" i="1"/>
  <c r="P266" i="1"/>
  <c r="P265" i="1"/>
  <c r="P264" i="1"/>
  <c r="P263" i="1"/>
  <c r="P262" i="1"/>
  <c r="P261" i="1"/>
  <c r="P260" i="1"/>
  <c r="P259" i="1"/>
  <c r="P258" i="1"/>
  <c r="P257" i="1"/>
  <c r="P256" i="1"/>
  <c r="P255" i="1"/>
  <c r="P254" i="1"/>
  <c r="P253" i="1"/>
  <c r="P252" i="1"/>
  <c r="P251" i="1"/>
  <c r="P250" i="1"/>
  <c r="P249" i="1"/>
  <c r="P248" i="1"/>
  <c r="P247" i="1"/>
  <c r="P246" i="1"/>
  <c r="P245" i="1"/>
  <c r="P244" i="1"/>
  <c r="P243" i="1"/>
  <c r="P242" i="1"/>
  <c r="P241" i="1"/>
  <c r="P240" i="1"/>
  <c r="P239" i="1"/>
  <c r="P238" i="1"/>
  <c r="P237" i="1"/>
  <c r="P236" i="1"/>
  <c r="P235" i="1"/>
  <c r="P234" i="1"/>
  <c r="P233" i="1"/>
  <c r="P232" i="1"/>
  <c r="P231" i="1"/>
  <c r="P230" i="1"/>
  <c r="P229" i="1"/>
  <c r="P228" i="1"/>
  <c r="P227" i="1"/>
  <c r="P226" i="1"/>
  <c r="P225" i="1"/>
  <c r="P224" i="1"/>
  <c r="P223" i="1"/>
  <c r="P222" i="1"/>
  <c r="P221" i="1"/>
  <c r="P220" i="1"/>
  <c r="P219" i="1"/>
  <c r="P218" i="1"/>
  <c r="P217" i="1"/>
  <c r="P216" i="1"/>
  <c r="P215" i="1"/>
  <c r="P214" i="1"/>
  <c r="P213" i="1"/>
  <c r="P212" i="1"/>
  <c r="P211" i="1"/>
  <c r="P210" i="1"/>
  <c r="P209" i="1"/>
  <c r="P208" i="1"/>
  <c r="P207" i="1"/>
  <c r="P206" i="1"/>
  <c r="P205" i="1"/>
  <c r="P204" i="1"/>
  <c r="P203" i="1"/>
  <c r="P202" i="1"/>
  <c r="P201" i="1"/>
  <c r="P200" i="1"/>
  <c r="P199" i="1"/>
  <c r="P198" i="1"/>
  <c r="P197" i="1"/>
  <c r="P196" i="1"/>
  <c r="P195" i="1"/>
  <c r="P194" i="1"/>
  <c r="P193" i="1"/>
  <c r="P192" i="1"/>
  <c r="P191" i="1"/>
  <c r="P190" i="1"/>
  <c r="P189" i="1"/>
  <c r="P188" i="1"/>
  <c r="P187" i="1"/>
  <c r="P186" i="1"/>
  <c r="P185" i="1"/>
  <c r="P184" i="1"/>
  <c r="P183" i="1"/>
  <c r="P182" i="1"/>
  <c r="P181" i="1"/>
  <c r="P180" i="1"/>
  <c r="P179" i="1"/>
  <c r="P178" i="1"/>
  <c r="P177" i="1"/>
  <c r="P176" i="1"/>
  <c r="P175" i="1"/>
  <c r="P174" i="1"/>
  <c r="P173" i="1"/>
  <c r="P172" i="1"/>
  <c r="P171" i="1"/>
  <c r="P170" i="1"/>
  <c r="P169" i="1"/>
  <c r="P168" i="1"/>
  <c r="P167" i="1"/>
  <c r="P166" i="1"/>
  <c r="P165" i="1"/>
  <c r="P164" i="1"/>
  <c r="P163" i="1"/>
  <c r="P162" i="1"/>
  <c r="P161" i="1"/>
  <c r="P160" i="1"/>
  <c r="P159" i="1"/>
  <c r="P158" i="1"/>
  <c r="P157" i="1"/>
  <c r="P156" i="1"/>
  <c r="P155" i="1"/>
  <c r="P154" i="1"/>
  <c r="P153" i="1"/>
  <c r="P152" i="1"/>
  <c r="P151" i="1"/>
  <c r="P150" i="1"/>
  <c r="P149" i="1"/>
  <c r="P148" i="1"/>
  <c r="P147" i="1"/>
  <c r="P146" i="1"/>
  <c r="P145" i="1"/>
  <c r="P144" i="1"/>
  <c r="P143" i="1"/>
  <c r="P142" i="1"/>
  <c r="P141" i="1"/>
  <c r="P140" i="1"/>
  <c r="P139" i="1"/>
  <c r="P138" i="1"/>
  <c r="P137" i="1"/>
  <c r="P136" i="1"/>
  <c r="P135" i="1"/>
  <c r="P134" i="1"/>
  <c r="P133" i="1"/>
  <c r="P132" i="1"/>
  <c r="P131" i="1"/>
  <c r="P130" i="1"/>
  <c r="P129" i="1"/>
  <c r="P128" i="1"/>
  <c r="P127" i="1"/>
  <c r="P126" i="1"/>
  <c r="P125" i="1"/>
  <c r="P124" i="1"/>
  <c r="P123" i="1"/>
  <c r="P122" i="1"/>
  <c r="P121" i="1"/>
  <c r="P120" i="1"/>
  <c r="P119" i="1"/>
  <c r="P118" i="1"/>
  <c r="P117" i="1"/>
  <c r="P116" i="1"/>
  <c r="P115" i="1"/>
  <c r="P114" i="1"/>
  <c r="P113" i="1"/>
  <c r="P112" i="1"/>
  <c r="P111" i="1"/>
  <c r="P110" i="1"/>
  <c r="P109" i="1"/>
  <c r="P108" i="1"/>
  <c r="P107" i="1"/>
  <c r="P106" i="1"/>
  <c r="P105" i="1"/>
  <c r="P104" i="1"/>
  <c r="P103" i="1"/>
  <c r="P102" i="1"/>
  <c r="P101" i="1"/>
  <c r="P100" i="1"/>
  <c r="P99" i="1"/>
  <c r="P98" i="1"/>
  <c r="P97" i="1"/>
  <c r="P96" i="1"/>
  <c r="P95" i="1"/>
  <c r="P94" i="1"/>
  <c r="P93" i="1"/>
  <c r="P92" i="1"/>
  <c r="P91" i="1"/>
  <c r="P90" i="1"/>
  <c r="P89" i="1"/>
  <c r="P88" i="1"/>
  <c r="P87" i="1"/>
  <c r="P86" i="1"/>
  <c r="P85" i="1"/>
  <c r="P84" i="1"/>
  <c r="P83" i="1"/>
  <c r="P82" i="1"/>
  <c r="P81" i="1"/>
  <c r="P80" i="1"/>
  <c r="P79" i="1"/>
  <c r="P78" i="1"/>
  <c r="P77" i="1"/>
  <c r="P76" i="1"/>
  <c r="P75" i="1"/>
  <c r="P74" i="1"/>
  <c r="P73" i="1"/>
  <c r="P72" i="1"/>
  <c r="P71" i="1"/>
  <c r="P70" i="1"/>
  <c r="P69" i="1"/>
  <c r="P68" i="1"/>
  <c r="P67" i="1"/>
  <c r="P66" i="1"/>
  <c r="P65" i="1"/>
  <c r="P64" i="1"/>
  <c r="P63" i="1"/>
  <c r="P62" i="1"/>
  <c r="P61" i="1"/>
  <c r="P60" i="1"/>
  <c r="P59" i="1"/>
  <c r="P58" i="1"/>
  <c r="P57" i="1"/>
  <c r="P56" i="1"/>
  <c r="P55" i="1"/>
  <c r="P54" i="1"/>
  <c r="P53" i="1"/>
  <c r="P52" i="1"/>
  <c r="P51" i="1"/>
  <c r="P50" i="1"/>
  <c r="P49" i="1"/>
  <c r="P48" i="1"/>
  <c r="P47" i="1"/>
  <c r="P46" i="1"/>
  <c r="P45" i="1"/>
  <c r="P44" i="1"/>
  <c r="P43" i="1"/>
  <c r="P42" i="1"/>
  <c r="P41" i="1"/>
  <c r="P40" i="1"/>
  <c r="P39" i="1"/>
  <c r="P38" i="1"/>
  <c r="P37" i="1"/>
  <c r="P36" i="1"/>
  <c r="P35" i="1"/>
  <c r="P34" i="1"/>
  <c r="P33" i="1"/>
  <c r="P32" i="1"/>
  <c r="P31" i="1"/>
  <c r="P30" i="1"/>
  <c r="P29" i="1"/>
  <c r="P28" i="1"/>
  <c r="P27" i="1"/>
  <c r="P26" i="1"/>
  <c r="P25" i="1"/>
  <c r="P24" i="1"/>
  <c r="P23" i="1"/>
  <c r="P22" i="1"/>
  <c r="P21" i="1"/>
  <c r="P20" i="1"/>
  <c r="P19" i="1"/>
  <c r="P18" i="1"/>
  <c r="P17" i="1"/>
  <c r="P16" i="1"/>
  <c r="P15" i="1"/>
  <c r="P14" i="1"/>
  <c r="P13" i="1"/>
  <c r="P12" i="1"/>
  <c r="P11" i="1"/>
  <c r="P10" i="1"/>
  <c r="P9" i="1"/>
  <c r="P8" i="1"/>
  <c r="P7" i="1"/>
  <c r="P6" i="1"/>
  <c r="P5" i="1"/>
  <c r="P4" i="1"/>
  <c r="Q2" i="1"/>
  <c r="R2" i="1" l="1"/>
</calcChain>
</file>

<file path=xl/sharedStrings.xml><?xml version="1.0" encoding="utf-8"?>
<sst xmlns="http://schemas.openxmlformats.org/spreadsheetml/2006/main" count="4485" uniqueCount="929">
  <si>
    <t>SAP</t>
  </si>
  <si>
    <t>Nombre</t>
  </si>
  <si>
    <t>Formato</t>
  </si>
  <si>
    <t>Nivel</t>
  </si>
  <si>
    <t>Nuevo Cluster AG´s</t>
  </si>
  <si>
    <t>Meta 13/03 - 16/03 Semana 12</t>
  </si>
  <si>
    <t>Meta Semana 13</t>
  </si>
  <si>
    <t>Meta Semana 14</t>
  </si>
  <si>
    <t>Meta Semana 15</t>
  </si>
  <si>
    <t>Meta Semana 16</t>
  </si>
  <si>
    <t>Meta Semana 17</t>
  </si>
  <si>
    <t>Meta Semana 18 solo del 27 al 30 abr</t>
  </si>
  <si>
    <t>B938</t>
  </si>
  <si>
    <t>HOSPITAL DE LA LUZ</t>
  </si>
  <si>
    <t>Hospitales</t>
  </si>
  <si>
    <t>Más de 150</t>
  </si>
  <si>
    <t>A317</t>
  </si>
  <si>
    <t>CENTRO COMERCIAL PERISUR</t>
  </si>
  <si>
    <t>Devlyn</t>
  </si>
  <si>
    <t>A309</t>
  </si>
  <si>
    <t>CANCUN PLAZA LAS AMERICAS</t>
  </si>
  <si>
    <t>A304</t>
  </si>
  <si>
    <t>SATELITE II</t>
  </si>
  <si>
    <t>A316</t>
  </si>
  <si>
    <t>PARQUE TOREO</t>
  </si>
  <si>
    <t>A880</t>
  </si>
  <si>
    <t>DELTA CUAUHTEMOC</t>
  </si>
  <si>
    <t>A820</t>
  </si>
  <si>
    <t>TOLUCA PORTALES</t>
  </si>
  <si>
    <t>A734</t>
  </si>
  <si>
    <t>GUADALAJARA PLAZA PATRIA II</t>
  </si>
  <si>
    <t>A308</t>
  </si>
  <si>
    <t>PUEBLA ANGELOPOLIS</t>
  </si>
  <si>
    <t>A306</t>
  </si>
  <si>
    <t>SANTA FE</t>
  </si>
  <si>
    <t>A307</t>
  </si>
  <si>
    <t>LEON PLAZA MAYOR</t>
  </si>
  <si>
    <t>A305</t>
  </si>
  <si>
    <t>GALERIAS COAPA</t>
  </si>
  <si>
    <t>A704</t>
  </si>
  <si>
    <t>PLAZA UNIVERSIDAD</t>
  </si>
  <si>
    <t>A802</t>
  </si>
  <si>
    <t>PLAZA ORIENTE</t>
  </si>
  <si>
    <t>A891</t>
  </si>
  <si>
    <t>MACROPLAZA INSURGENTES TIJUANA</t>
  </si>
  <si>
    <t>B771</t>
  </si>
  <si>
    <t>LAS ANTENAS</t>
  </si>
  <si>
    <t>A744</t>
  </si>
  <si>
    <t>TIJUANA PLAZA RIO II</t>
  </si>
  <si>
    <t>A755</t>
  </si>
  <si>
    <t>C.C. LAS AMERICAS ECATEPEC</t>
  </si>
  <si>
    <t>A775</t>
  </si>
  <si>
    <t>CD JARDIN NEZA</t>
  </si>
  <si>
    <t>A774</t>
  </si>
  <si>
    <t>GALERIAS MONTERREY</t>
  </si>
  <si>
    <t>A310</t>
  </si>
  <si>
    <t>METEPEC PLAZA GALERIAS</t>
  </si>
  <si>
    <t>A315</t>
  </si>
  <si>
    <t>GALERIAS GUADALAJARA</t>
  </si>
  <si>
    <t>B058</t>
  </si>
  <si>
    <t>SENDERO LOS CABOS</t>
  </si>
  <si>
    <t>A966</t>
  </si>
  <si>
    <t>GUADALAJARA CHEDRAUI LOMAS</t>
  </si>
  <si>
    <t>A807</t>
  </si>
  <si>
    <t>IZCALLI PLAZA FIESTA</t>
  </si>
  <si>
    <t>B269</t>
  </si>
  <si>
    <t>OAX. SEARS PLAZA DEL VALLE</t>
  </si>
  <si>
    <t>Sears</t>
  </si>
  <si>
    <t>A767</t>
  </si>
  <si>
    <t>PARQUE TEZONTLE</t>
  </si>
  <si>
    <t>A108</t>
  </si>
  <si>
    <t>OASIS COYOACAN</t>
  </si>
  <si>
    <t>B939</t>
  </si>
  <si>
    <t>PARQUE TEPEYAC</t>
  </si>
  <si>
    <t>A718</t>
  </si>
  <si>
    <t>GUDALAJARA PLAZA DEL SOL</t>
  </si>
  <si>
    <t>B040</t>
  </si>
  <si>
    <t>PASEO REFORMA NUEVO LAREDO</t>
  </si>
  <si>
    <t>A313</t>
  </si>
  <si>
    <t>ANTEA LIFESTYLE QUERETARO</t>
  </si>
  <si>
    <t>A715</t>
  </si>
  <si>
    <t>MEXICALI PLAZA CACHANILLA</t>
  </si>
  <si>
    <t>A763</t>
  </si>
  <si>
    <t>PLAZA LAS AMERICAS XALAPA</t>
  </si>
  <si>
    <t>A917</t>
  </si>
  <si>
    <t>GALERIAS RIO SONORA</t>
  </si>
  <si>
    <t>B818</t>
  </si>
  <si>
    <t>MITIKAH</t>
  </si>
  <si>
    <t>A303</t>
  </si>
  <si>
    <t>CERVANTES SAAVEDRA</t>
  </si>
  <si>
    <t>A730</t>
  </si>
  <si>
    <t>DEVLYN CHEDRAUI POLANCO</t>
  </si>
  <si>
    <t>A769</t>
  </si>
  <si>
    <t>PLAZA ARAGON II</t>
  </si>
  <si>
    <t>A902</t>
  </si>
  <si>
    <t>LUNA PARC</t>
  </si>
  <si>
    <t>B056</t>
  </si>
  <si>
    <t>GRAN SUR I</t>
  </si>
  <si>
    <t>B737</t>
  </si>
  <si>
    <t>PARQUE DELTA III</t>
  </si>
  <si>
    <t>B946</t>
  </si>
  <si>
    <t>HOSPITAL DE LA LUZ ORIENTE</t>
  </si>
  <si>
    <t>A787</t>
  </si>
  <si>
    <t>MADERO 1</t>
  </si>
  <si>
    <t>A854</t>
  </si>
  <si>
    <t>LAS AMERICAS PLAYA DEL CARMEN</t>
  </si>
  <si>
    <t>A976</t>
  </si>
  <si>
    <t>LIBERTAD CENTRO (CHIHUAHUA)</t>
  </si>
  <si>
    <t>A778</t>
  </si>
  <si>
    <t>GALERIAS MERIDA</t>
  </si>
  <si>
    <t>A859</t>
  </si>
  <si>
    <t>IZCALLI PLAZA SAN MIGUEL</t>
  </si>
  <si>
    <t>A981</t>
  </si>
  <si>
    <t>TEXCOCO CENTRO</t>
  </si>
  <si>
    <t>Entre 100 y 150</t>
  </si>
  <si>
    <t>A780</t>
  </si>
  <si>
    <t>GALERIAS ATIZAPAN</t>
  </si>
  <si>
    <t>A964</t>
  </si>
  <si>
    <t>PUEBLA REFORMA CENTRO</t>
  </si>
  <si>
    <t>A736</t>
  </si>
  <si>
    <t>MERIDA PLAZA LAS AMERICAS</t>
  </si>
  <si>
    <t>A739</t>
  </si>
  <si>
    <t>TORREON PLAZA 4 CAMINOS</t>
  </si>
  <si>
    <t>A886</t>
  </si>
  <si>
    <t>MEXICALI PLAZA NUEVA</t>
  </si>
  <si>
    <t>A915</t>
  </si>
  <si>
    <t>VIA ACOXPA</t>
  </si>
  <si>
    <t>A320</t>
  </si>
  <si>
    <t>CHAPUR GRAN MERIDA</t>
  </si>
  <si>
    <t>Chapur</t>
  </si>
  <si>
    <t>A783</t>
  </si>
  <si>
    <t>GALERIAS TOLUCA</t>
  </si>
  <si>
    <t>B296</t>
  </si>
  <si>
    <t>SEARS PLAZA DEL SOL CHIH.</t>
  </si>
  <si>
    <t>B008</t>
  </si>
  <si>
    <t>LEON CENTRO II</t>
  </si>
  <si>
    <t>B303</t>
  </si>
  <si>
    <t>SEARS PLAZA LAS AMERICAS XALAPA</t>
  </si>
  <si>
    <t>A311</t>
  </si>
  <si>
    <t>ANDARES GUADALAJARA</t>
  </si>
  <si>
    <t>A738</t>
  </si>
  <si>
    <t>CHIH. PLAZA. DEL SOL</t>
  </si>
  <si>
    <t>B306</t>
  </si>
  <si>
    <t>SEARS ALTARIA</t>
  </si>
  <si>
    <t>A716</t>
  </si>
  <si>
    <t>TIJUANA PLAZA RIO</t>
  </si>
  <si>
    <t>A719</t>
  </si>
  <si>
    <t>GUADALAJARA GRAN PLAZA</t>
  </si>
  <si>
    <t>B854</t>
  </si>
  <si>
    <t>PATIO TLALPAN</t>
  </si>
  <si>
    <t>A737</t>
  </si>
  <si>
    <t>GALERIAS INSURGENTES</t>
  </si>
  <si>
    <t>A770</t>
  </si>
  <si>
    <t>PASEO DURANGO</t>
  </si>
  <si>
    <t>A772</t>
  </si>
  <si>
    <t>FORUM TLAQUEPAQUE</t>
  </si>
  <si>
    <t>B764</t>
  </si>
  <si>
    <t>PUNTO LA VICTORIA</t>
  </si>
  <si>
    <t>A319</t>
  </si>
  <si>
    <t>AMPLIACION SANTA FE</t>
  </si>
  <si>
    <t>A853</t>
  </si>
  <si>
    <t>PLAZA SENDERO TOLUCA</t>
  </si>
  <si>
    <t>B019</t>
  </si>
  <si>
    <t>DEVLYN CHEDRAUI NEZA</t>
  </si>
  <si>
    <t>A889</t>
  </si>
  <si>
    <t>PASEO TEHUACAN</t>
  </si>
  <si>
    <t>B099</t>
  </si>
  <si>
    <t>PLAZA SATELITE III</t>
  </si>
  <si>
    <t>B897</t>
  </si>
  <si>
    <t>ENCUENTRO OCEANIA</t>
  </si>
  <si>
    <t>A292</t>
  </si>
  <si>
    <t>PLAZA TLALNEPANTLA</t>
  </si>
  <si>
    <t>A740</t>
  </si>
  <si>
    <t>TORREON GALERIAS LA LAGUNA</t>
  </si>
  <si>
    <t>A901</t>
  </si>
  <si>
    <t>MULTIPLAZA TUXTEPEC</t>
  </si>
  <si>
    <t>A906</t>
  </si>
  <si>
    <t>PLAZA TAPACHULA</t>
  </si>
  <si>
    <t>B820</t>
  </si>
  <si>
    <t>ALDEA (ALAIA) GUANAJUATO</t>
  </si>
  <si>
    <t>B044</t>
  </si>
  <si>
    <t>SALAMANCA CENTRO</t>
  </si>
  <si>
    <t>A735</t>
  </si>
  <si>
    <t>ZENTRALIA CD DEL CARMEN</t>
  </si>
  <si>
    <t>A785</t>
  </si>
  <si>
    <t>PLAZA VALLE ORIZABA</t>
  </si>
  <si>
    <t>B003</t>
  </si>
  <si>
    <t>CC EL CORTIJO IXTAPALUCA</t>
  </si>
  <si>
    <t>B888</t>
  </si>
  <si>
    <t>PLAZA CRYSTAL TUXPAN</t>
  </si>
  <si>
    <t>A803</t>
  </si>
  <si>
    <t>XALAPA CRYSTAL</t>
  </si>
  <si>
    <t>B884</t>
  </si>
  <si>
    <t>LA PERLA GUADALAJARA</t>
  </si>
  <si>
    <t>A779</t>
  </si>
  <si>
    <t>GALERIAS SALTILLO</t>
  </si>
  <si>
    <t>A795</t>
  </si>
  <si>
    <t>SAN JERONIMO</t>
  </si>
  <si>
    <t>A852</t>
  </si>
  <si>
    <t>AV. HIDALGO CENTRO (OAXACA)</t>
  </si>
  <si>
    <t>B862</t>
  </si>
  <si>
    <t>PLAZA SAN PEDRO MEXICALI</t>
  </si>
  <si>
    <t>A941</t>
  </si>
  <si>
    <t>POZARICA CENTRO</t>
  </si>
  <si>
    <t>A029</t>
  </si>
  <si>
    <t>PASEO LA FE</t>
  </si>
  <si>
    <t>A318</t>
  </si>
  <si>
    <t>ALTABRISA MALL MERIDA</t>
  </si>
  <si>
    <t>A887</t>
  </si>
  <si>
    <t>NOGALES MALL</t>
  </si>
  <si>
    <t>A751</t>
  </si>
  <si>
    <t>GALERIAS BLVD TUXTLA GTZ</t>
  </si>
  <si>
    <t>A753</t>
  </si>
  <si>
    <t>QUERETARO LIVERPOOL</t>
  </si>
  <si>
    <t>B036</t>
  </si>
  <si>
    <t>CHILPANCINGO II</t>
  </si>
  <si>
    <t>A960</t>
  </si>
  <si>
    <t>LOS MOCHIS PLAZA FIESTA</t>
  </si>
  <si>
    <t>A791</t>
  </si>
  <si>
    <t>PLAZA TORRES LINDAVISTA</t>
  </si>
  <si>
    <t>B029</t>
  </si>
  <si>
    <t>CANCUN PLAZA LAS AMERICAS II</t>
  </si>
  <si>
    <t>A951</t>
  </si>
  <si>
    <t>MORELOS CENTRO (S.L.P)</t>
  </si>
  <si>
    <t>A776</t>
  </si>
  <si>
    <t>PARQUE CELAYA</t>
  </si>
  <si>
    <t>A909</t>
  </si>
  <si>
    <t>PLAZA MANZANILLO</t>
  </si>
  <si>
    <t>B035</t>
  </si>
  <si>
    <t>PLAZA SENDERO SLP</t>
  </si>
  <si>
    <t>A731</t>
  </si>
  <si>
    <t>ACAPULCO GRAN PLAZA</t>
  </si>
  <si>
    <t>A870</t>
  </si>
  <si>
    <t>XALAPA CENTRO</t>
  </si>
  <si>
    <t>A967</t>
  </si>
  <si>
    <t>AGUASCALIENTES MADERO</t>
  </si>
  <si>
    <t>A707</t>
  </si>
  <si>
    <t>QUERETARO PLAZA DEL PARQUE</t>
  </si>
  <si>
    <t>A857</t>
  </si>
  <si>
    <t>GRAN TERRAZA OBLATOS</t>
  </si>
  <si>
    <t>A878</t>
  </si>
  <si>
    <t>CD. JUAREZ LAS MISIONES</t>
  </si>
  <si>
    <t>B055</t>
  </si>
  <si>
    <t>CORDOBA CENTRO</t>
  </si>
  <si>
    <t>A754</t>
  </si>
  <si>
    <t>LIVERPOOL PACHUCA</t>
  </si>
  <si>
    <t>A979</t>
  </si>
  <si>
    <t>MTY. PADRE MIER</t>
  </si>
  <si>
    <t>B772</t>
  </si>
  <si>
    <t>PARQUE PUEBLA</t>
  </si>
  <si>
    <t>A862</t>
  </si>
  <si>
    <t>PABELLON DEL VALLE</t>
  </si>
  <si>
    <t>A706</t>
  </si>
  <si>
    <t>PUEBLA PLAZA DORADA</t>
  </si>
  <si>
    <t>A710</t>
  </si>
  <si>
    <t>PLAZA LINDAVISTA</t>
  </si>
  <si>
    <t>A866</t>
  </si>
  <si>
    <t>PLAZA CHALCO 2000</t>
  </si>
  <si>
    <t>B278</t>
  </si>
  <si>
    <t>SEARS HERMOSILLO</t>
  </si>
  <si>
    <t>B729</t>
  </si>
  <si>
    <t>SENDERO CHIHUAHUA</t>
  </si>
  <si>
    <t>B872</t>
  </si>
  <si>
    <t>EXPLANADA PACHUCA</t>
  </si>
  <si>
    <t>A724</t>
  </si>
  <si>
    <t>DEVLYN TABASCO 2000 (VHSA)</t>
  </si>
  <si>
    <t>Entre 50 y 100</t>
  </si>
  <si>
    <t>A743</t>
  </si>
  <si>
    <t>EL DORADO (S.L.P)</t>
  </si>
  <si>
    <t>A765</t>
  </si>
  <si>
    <t>PARQUE LINDAVISTA</t>
  </si>
  <si>
    <t>A810</t>
  </si>
  <si>
    <t>COACALCO</t>
  </si>
  <si>
    <t>B629</t>
  </si>
  <si>
    <t>PASEO QUERETARO</t>
  </si>
  <si>
    <t>A762</t>
  </si>
  <si>
    <t>GALERIAS CUERNAVACA</t>
  </si>
  <si>
    <t>A829</t>
  </si>
  <si>
    <t>AGUASCALIENTES VILLASUNCION</t>
  </si>
  <si>
    <t>A916</t>
  </si>
  <si>
    <t>MULTIPLAZA OJO DE AGUA</t>
  </si>
  <si>
    <t>B489</t>
  </si>
  <si>
    <t>SUPERCENTER PABELLON GRAND</t>
  </si>
  <si>
    <t>A818</t>
  </si>
  <si>
    <t>CD. JUAREZ RIO GRANDE</t>
  </si>
  <si>
    <t>A873</t>
  </si>
  <si>
    <t>CD JUAREZ CC LAS TORRES</t>
  </si>
  <si>
    <t>A883</t>
  </si>
  <si>
    <t>MULTIPLAZA LAS PALMAS</t>
  </si>
  <si>
    <t>A912</t>
  </si>
  <si>
    <t>ADANA AGUASCALIENTES</t>
  </si>
  <si>
    <t>B046</t>
  </si>
  <si>
    <t>SENDERO CD JUAREZ</t>
  </si>
  <si>
    <t>B283</t>
  </si>
  <si>
    <t>LEON SEARS PLAZA MAYOR</t>
  </si>
  <si>
    <t>B874</t>
  </si>
  <si>
    <t>TOWN SQUARE METEPEC</t>
  </si>
  <si>
    <t>B898</t>
  </si>
  <si>
    <t>POWER CENTER TECAMAC</t>
  </si>
  <si>
    <t>A117</t>
  </si>
  <si>
    <t>DEVLYN COSMOPOL</t>
  </si>
  <si>
    <t>A714</t>
  </si>
  <si>
    <t>PLAZA CUMBRES</t>
  </si>
  <si>
    <t>A732</t>
  </si>
  <si>
    <t>GALERIAS ZACATECAS</t>
  </si>
  <si>
    <t>A747</t>
  </si>
  <si>
    <t>GALERIAS MAZATLAN</t>
  </si>
  <si>
    <t>A874</t>
  </si>
  <si>
    <t>INDEPENDENCIA CENTRO (TEHUACAN)</t>
  </si>
  <si>
    <t>A958</t>
  </si>
  <si>
    <t>TORREON CENTRO</t>
  </si>
  <si>
    <t>A971</t>
  </si>
  <si>
    <t>CIUDAD VALLES CENTRO</t>
  </si>
  <si>
    <t>B059</t>
  </si>
  <si>
    <t>SENDERO CHALCO</t>
  </si>
  <si>
    <t>B763</t>
  </si>
  <si>
    <t>PORTAL SAN ANGEL</t>
  </si>
  <si>
    <t>A314</t>
  </si>
  <si>
    <t>ALTACIA LEON</t>
  </si>
  <si>
    <t>B424</t>
  </si>
  <si>
    <t>CD. DELICIAS SORIANA</t>
  </si>
  <si>
    <t>A746</t>
  </si>
  <si>
    <t>GALERIAS CAMPECHE</t>
  </si>
  <si>
    <t>A813</t>
  </si>
  <si>
    <t>PACHUCA PLAZA BELLA</t>
  </si>
  <si>
    <t>A991</t>
  </si>
  <si>
    <t>PIEDRAS NEGRAS CENTRO</t>
  </si>
  <si>
    <t>A892</t>
  </si>
  <si>
    <t>POWER CENTER COACALCO</t>
  </si>
  <si>
    <t>A905</t>
  </si>
  <si>
    <t>PASEO LOS MOCHIS</t>
  </si>
  <si>
    <t>A727</t>
  </si>
  <si>
    <t>VER. PLAZA LAS AMERICAS</t>
  </si>
  <si>
    <t>A828</t>
  </si>
  <si>
    <t>AGORA URUAPAN</t>
  </si>
  <si>
    <t>B787</t>
  </si>
  <si>
    <t>PLAZOLETA GARCIA</t>
  </si>
  <si>
    <t>A757</t>
  </si>
  <si>
    <t>PUERTO PARAISO</t>
  </si>
  <si>
    <t>A805</t>
  </si>
  <si>
    <t>VERACRUZ PLAZA CRISTAL</t>
  </si>
  <si>
    <t>A855</t>
  </si>
  <si>
    <t>SENDERO QUERETARO</t>
  </si>
  <si>
    <t>B266</t>
  </si>
  <si>
    <t>SEARS CENTRO (GUADALAJARA)</t>
  </si>
  <si>
    <t>B282</t>
  </si>
  <si>
    <t>SEARS TANGAMANGA (S.L.P)</t>
  </si>
  <si>
    <t>B307</t>
  </si>
  <si>
    <t>SEARS STIVA MONTERREY</t>
  </si>
  <si>
    <t>A849</t>
  </si>
  <si>
    <t>OAXACA PLAZA DEL VALLE</t>
  </si>
  <si>
    <t>A895</t>
  </si>
  <si>
    <t>FORUM BUENAVISTA</t>
  </si>
  <si>
    <t>B410</t>
  </si>
  <si>
    <t>FRESNILLO SORIANA ZACATECAS</t>
  </si>
  <si>
    <t>A506</t>
  </si>
  <si>
    <t>C COMERCIAL LAS AMERICAS CHETUMAL</t>
  </si>
  <si>
    <t>A931</t>
  </si>
  <si>
    <t>DEVLYN CUAJIMALPA</t>
  </si>
  <si>
    <t>A933</t>
  </si>
  <si>
    <t>OAXACA CENTRO</t>
  </si>
  <si>
    <t>B288</t>
  </si>
  <si>
    <t>VER. SEARS PLAZA LAS AMERICAS</t>
  </si>
  <si>
    <t>B768</t>
  </si>
  <si>
    <t>MACRO PLAZA TIJUANA II</t>
  </si>
  <si>
    <t>B847</t>
  </si>
  <si>
    <t>PORTAL CENTRO (PATIO BOTIRINI)</t>
  </si>
  <si>
    <t>A786</t>
  </si>
  <si>
    <t>ALTABRISA TABASCO</t>
  </si>
  <si>
    <t>A900</t>
  </si>
  <si>
    <t>GRAN PATIO PACHUCA</t>
  </si>
  <si>
    <t>B315</t>
  </si>
  <si>
    <t>SEARS RIO TIJUANA</t>
  </si>
  <si>
    <t>B414</t>
  </si>
  <si>
    <t>PIEDRAS NEGRAS SORIANA</t>
  </si>
  <si>
    <t>A961</t>
  </si>
  <si>
    <t>CD. OBREGON PLAZA TUTULI</t>
  </si>
  <si>
    <t>B001</t>
  </si>
  <si>
    <t>TIJUANA PLAZA CARRUSEL</t>
  </si>
  <si>
    <t>B052</t>
  </si>
  <si>
    <t>PARRAL CENTRO</t>
  </si>
  <si>
    <t>B271</t>
  </si>
  <si>
    <t>SEARS PLAZA LAS AMERICAS MORELIA</t>
  </si>
  <si>
    <t>B942</t>
  </si>
  <si>
    <t>AMP. GALERIAS METEPEC</t>
  </si>
  <si>
    <t>A758</t>
  </si>
  <si>
    <t>GRAN PLAZA CANCUN</t>
  </si>
  <si>
    <t>A782</t>
  </si>
  <si>
    <t>LA LUCIERNAGA</t>
  </si>
  <si>
    <t>A825</t>
  </si>
  <si>
    <t>ATIZAPAN ALAMEDAS</t>
  </si>
  <si>
    <t>B042</t>
  </si>
  <si>
    <t>SENDERO LINCOLN</t>
  </si>
  <si>
    <t>B053</t>
  </si>
  <si>
    <t>GRAN PATIO TEXCOCO</t>
  </si>
  <si>
    <t>A717</t>
  </si>
  <si>
    <t>CC SAN LUIS POTOSI</t>
  </si>
  <si>
    <t>A838</t>
  </si>
  <si>
    <t>CHEDRAUI EDUARDO MOLINA</t>
  </si>
  <si>
    <t>A840</t>
  </si>
  <si>
    <t>SAN CRISTOBAL DE LAS CASAS CENTRO</t>
  </si>
  <si>
    <t>B002</t>
  </si>
  <si>
    <t>CHEDRAUI AJUSCO</t>
  </si>
  <si>
    <t>B139</t>
  </si>
  <si>
    <t>PLAZA PERIFERICO</t>
  </si>
  <si>
    <t>B275</t>
  </si>
  <si>
    <t>COAPA SEARS</t>
  </si>
  <si>
    <t>B744</t>
  </si>
  <si>
    <t>DEVLYN HUEHUETOCA</t>
  </si>
  <si>
    <t>A814</t>
  </si>
  <si>
    <t>CUERNAVACA PLAZA</t>
  </si>
  <si>
    <t>A885</t>
  </si>
  <si>
    <t>GUADALAJARA CENTRO SUR</t>
  </si>
  <si>
    <t>B294</t>
  </si>
  <si>
    <t>SEARS CANCUN</t>
  </si>
  <si>
    <t>A750</t>
  </si>
  <si>
    <t>FORUM CULIACAN</t>
  </si>
  <si>
    <t>A822</t>
  </si>
  <si>
    <t>REAL CENTER ZAPOPAN</t>
  </si>
  <si>
    <t>A830</t>
  </si>
  <si>
    <t>MATAMOROS PLAZA</t>
  </si>
  <si>
    <t>A927</t>
  </si>
  <si>
    <t>MORELIA MADERO</t>
  </si>
  <si>
    <t>B031</t>
  </si>
  <si>
    <t>AV. JUAREZ CENTRO (QUERETARO)</t>
  </si>
  <si>
    <t>B289</t>
  </si>
  <si>
    <t>SEARS PLAYA DEL CARMEN</t>
  </si>
  <si>
    <t>B797</t>
  </si>
  <si>
    <t>ENSENADA MACROPLAZA DEL MAR</t>
  </si>
  <si>
    <t>A843</t>
  </si>
  <si>
    <t>IRAPUATO PLAZA JACARANDAS</t>
  </si>
  <si>
    <t>A882</t>
  </si>
  <si>
    <t>REYNOSA PERIFERICO</t>
  </si>
  <si>
    <t>A907</t>
  </si>
  <si>
    <t>AMPL PLAZA FIESTA ANAHUAC</t>
  </si>
  <si>
    <t>B140</t>
  </si>
  <si>
    <t>PLAZA CENTELLA</t>
  </si>
  <si>
    <t>B293</t>
  </si>
  <si>
    <t>SEARS PASEO DURANGO</t>
  </si>
  <si>
    <t>B305</t>
  </si>
  <si>
    <t>SEARS TUXTLA</t>
  </si>
  <si>
    <t>B873</t>
  </si>
  <si>
    <t>EXPLANADA PUEBLA</t>
  </si>
  <si>
    <t>A815</t>
  </si>
  <si>
    <t>CORDOBA PLAZA CRISTAL</t>
  </si>
  <si>
    <t>A832</t>
  </si>
  <si>
    <t>GRAN PATIO TLAXCALA</t>
  </si>
  <si>
    <t>A844</t>
  </si>
  <si>
    <t>MEGA COYOACAN</t>
  </si>
  <si>
    <t>B743</t>
  </si>
  <si>
    <t>ALTAMA TAMPICO</t>
  </si>
  <si>
    <t>B751</t>
  </si>
  <si>
    <t>SEARS COLIMA 3ER ANILLO PER</t>
  </si>
  <si>
    <t>A752</t>
  </si>
  <si>
    <t>IRAPUATO PLAZA CIBELES</t>
  </si>
  <si>
    <t>A761</t>
  </si>
  <si>
    <t>PASEO SAN PEDRO</t>
  </si>
  <si>
    <t>A798</t>
  </si>
  <si>
    <t>ACAPULCO CENTRO</t>
  </si>
  <si>
    <t>A847</t>
  </si>
  <si>
    <t>ENSENADA CENTRO</t>
  </si>
  <si>
    <t>A884</t>
  </si>
  <si>
    <t>PASEO CANCUN</t>
  </si>
  <si>
    <t>A989</t>
  </si>
  <si>
    <t>IXTLAHUACA CENTRO</t>
  </si>
  <si>
    <t>A996</t>
  </si>
  <si>
    <t>CHEDRAUI EL ANFORA</t>
  </si>
  <si>
    <t>B417</t>
  </si>
  <si>
    <t>TLAXCALA SORIANA</t>
  </si>
  <si>
    <t>B434</t>
  </si>
  <si>
    <t>TORREON SORIANA</t>
  </si>
  <si>
    <t>A881</t>
  </si>
  <si>
    <t>PLAZA SAN CRISTOBAL</t>
  </si>
  <si>
    <t>B816</t>
  </si>
  <si>
    <t>GALERIAS TLAXCALA</t>
  </si>
  <si>
    <t>A871</t>
  </si>
  <si>
    <t>HERMOSILLO PLAZA DEL SOL</t>
  </si>
  <si>
    <t>B477</t>
  </si>
  <si>
    <t>WAL MART PLATEROS</t>
  </si>
  <si>
    <t>A824</t>
  </si>
  <si>
    <t>MINATITLAN PLAZA CRISTAL</t>
  </si>
  <si>
    <t>A904</t>
  </si>
  <si>
    <t>MULTIPLAZA LINDAVISTA</t>
  </si>
  <si>
    <t>A918</t>
  </si>
  <si>
    <t>CITADINA SLP</t>
  </si>
  <si>
    <t>B308</t>
  </si>
  <si>
    <t>SEARS PACHUCA</t>
  </si>
  <si>
    <t>A113</t>
  </si>
  <si>
    <t>MUNDO E</t>
  </si>
  <si>
    <t>A705</t>
  </si>
  <si>
    <t>GALERIAS CHILPANCINGO</t>
  </si>
  <si>
    <t>A790</t>
  </si>
  <si>
    <t>ECHEGARAY</t>
  </si>
  <si>
    <t>A794</t>
  </si>
  <si>
    <t>VERACRUZ ARISTA CENTRO</t>
  </si>
  <si>
    <t>A872</t>
  </si>
  <si>
    <t>SORIANA FORJADORES</t>
  </si>
  <si>
    <t>A962</t>
  </si>
  <si>
    <t>CONSTITUCION CENTRO TIJUANA</t>
  </si>
  <si>
    <t>A748</t>
  </si>
  <si>
    <t>PLAZA VALLE ORIENTE</t>
  </si>
  <si>
    <t>A865</t>
  </si>
  <si>
    <t>DEVLYN LAS AMERICAS (VHSA)</t>
  </si>
  <si>
    <t>B007</t>
  </si>
  <si>
    <t>PATIO CLAVERIA</t>
  </si>
  <si>
    <t>B274</t>
  </si>
  <si>
    <t>ACAPULCO SEARS</t>
  </si>
  <si>
    <t>B869</t>
  </si>
  <si>
    <t>PUNTO SUR GDL</t>
  </si>
  <si>
    <t>A077</t>
  </si>
  <si>
    <t>VIA VALLEJO</t>
  </si>
  <si>
    <t>A759</t>
  </si>
  <si>
    <t>GALERIAS SERDAN</t>
  </si>
  <si>
    <t>A817</t>
  </si>
  <si>
    <t>TOLUCA PLAZA LAS AMERICAS</t>
  </si>
  <si>
    <t>A877</t>
  </si>
  <si>
    <t>PLAZA BELLA HEB SENDERO</t>
  </si>
  <si>
    <t>A944</t>
  </si>
  <si>
    <t>HERMOSILLO SAHUARO</t>
  </si>
  <si>
    <t>B310</t>
  </si>
  <si>
    <t>SEARS ALTABRISA</t>
  </si>
  <si>
    <t>B317</t>
  </si>
  <si>
    <t>SEARS CARRUSEL</t>
  </si>
  <si>
    <t>B783</t>
  </si>
  <si>
    <t>COLON II CENTRO (GDL)</t>
  </si>
  <si>
    <t>A033</t>
  </si>
  <si>
    <t>PLAZA CARACOL</t>
  </si>
  <si>
    <t>A806</t>
  </si>
  <si>
    <t>MIRAMONTES</t>
  </si>
  <si>
    <t>A836</t>
  </si>
  <si>
    <t>DEVLYN CHEDRAUI (TAPACHULA)</t>
  </si>
  <si>
    <t>B047</t>
  </si>
  <si>
    <t>GALERIA TAMARINDOS</t>
  </si>
  <si>
    <t>B423</t>
  </si>
  <si>
    <t>NUEVO LAREDO SORIANA</t>
  </si>
  <si>
    <t>B749</t>
  </si>
  <si>
    <t>SEARS JARDIN BORDO XOCHIACA</t>
  </si>
  <si>
    <t>B864</t>
  </si>
  <si>
    <t>GALERIAS HIPODROMO TIJUANA</t>
  </si>
  <si>
    <t>B896</t>
  </si>
  <si>
    <t>PASEO MONCLOVA</t>
  </si>
  <si>
    <t>A321</t>
  </si>
  <si>
    <t>CHAPUR GRAN MERIDA II</t>
  </si>
  <si>
    <t>A771</t>
  </si>
  <si>
    <t>PASEO INTERLOMAS</t>
  </si>
  <si>
    <t>A834</t>
  </si>
  <si>
    <t>MAZATLAN GRAN PLAZA</t>
  </si>
  <si>
    <t>B030</t>
  </si>
  <si>
    <t>GUAMUCHIL</t>
  </si>
  <si>
    <t>B711</t>
  </si>
  <si>
    <t>DEVLYN SORIANA (COLIMA)</t>
  </si>
  <si>
    <t>A777</t>
  </si>
  <si>
    <t>GALERIAS VALLARTA</t>
  </si>
  <si>
    <t>A879</t>
  </si>
  <si>
    <t>CHEDRAUI ACAYUCAN</t>
  </si>
  <si>
    <t>B027</t>
  </si>
  <si>
    <t>CHEDRAUI NEZA NORTE</t>
  </si>
  <si>
    <t>B284</t>
  </si>
  <si>
    <t>GOMEZ PALACIO SEARS</t>
  </si>
  <si>
    <t>B730</t>
  </si>
  <si>
    <t>TIJUANA SENDERO</t>
  </si>
  <si>
    <t>B741</t>
  </si>
  <si>
    <t>LA FLORIDA ACAYUCAN</t>
  </si>
  <si>
    <t>B778</t>
  </si>
  <si>
    <t>CHEDRAUI HUATULCO</t>
  </si>
  <si>
    <t>B856</t>
  </si>
  <si>
    <t>GRAN PATIO POZA RICA</t>
  </si>
  <si>
    <t>B922</t>
  </si>
  <si>
    <t>GALERIAS SANTA ANITA</t>
  </si>
  <si>
    <t>A841</t>
  </si>
  <si>
    <t>AV.CENTRAL CENTRO (TUXTLA)</t>
  </si>
  <si>
    <t>A861</t>
  </si>
  <si>
    <t>GALERIAS DEL RIO</t>
  </si>
  <si>
    <t>A940</t>
  </si>
  <si>
    <t>PLAZA ZUMPANGO</t>
  </si>
  <si>
    <t>A980</t>
  </si>
  <si>
    <t>CHILPANCINGO COM.MEX.</t>
  </si>
  <si>
    <t>B304</t>
  </si>
  <si>
    <t>SEARS MONTERREY</t>
  </si>
  <si>
    <t>B309</t>
  </si>
  <si>
    <t>SEARS FORUM TEPIC</t>
  </si>
  <si>
    <t>B427</t>
  </si>
  <si>
    <t>SORIANA ZACATECAS</t>
  </si>
  <si>
    <t>B630</t>
  </si>
  <si>
    <t>AVERANDA</t>
  </si>
  <si>
    <t>A722</t>
  </si>
  <si>
    <t>MTY. PLAZA FIESTA SAN AGUSTIN</t>
  </si>
  <si>
    <t>A728</t>
  </si>
  <si>
    <t>EL ROSARIO TOWN CENTER</t>
  </si>
  <si>
    <t>A812</t>
  </si>
  <si>
    <t>SAN MATEO</t>
  </si>
  <si>
    <t>A869</t>
  </si>
  <si>
    <t>ENSENADA BAHIA</t>
  </si>
  <si>
    <t>A923</t>
  </si>
  <si>
    <t>ORIZABA CENTRO</t>
  </si>
  <si>
    <t>A945</t>
  </si>
  <si>
    <t>DEVLYN CHEDRAUI (TENAYUCA)</t>
  </si>
  <si>
    <t>A995</t>
  </si>
  <si>
    <t>NAVOJOA CENTRO</t>
  </si>
  <si>
    <t>A999</t>
  </si>
  <si>
    <t>SORIANA NOGALES</t>
  </si>
  <si>
    <t>B279</t>
  </si>
  <si>
    <t>MTY. SEARS ANAHUAC</t>
  </si>
  <si>
    <t>B855</t>
  </si>
  <si>
    <t>AMBAR FASHION MALL</t>
  </si>
  <si>
    <t>A708</t>
  </si>
  <si>
    <t>PABELLON BOSQUES</t>
  </si>
  <si>
    <t>A764</t>
  </si>
  <si>
    <t>GALERIAS DEL VALLE</t>
  </si>
  <si>
    <t>A781</t>
  </si>
  <si>
    <t>CENTRO MAX BAJIO</t>
  </si>
  <si>
    <t>A808</t>
  </si>
  <si>
    <t>PLAZA TEPEYAC</t>
  </si>
  <si>
    <t>A831</t>
  </si>
  <si>
    <t>CHEDRAUI COAPA</t>
  </si>
  <si>
    <t>B011</t>
  </si>
  <si>
    <t>POZA RICA PLAZA CRYSTAL</t>
  </si>
  <si>
    <t>A846</t>
  </si>
  <si>
    <t>TUXTEPEC CHEDRAUI</t>
  </si>
  <si>
    <t>A893</t>
  </si>
  <si>
    <t>CITADEL</t>
  </si>
  <si>
    <t>A957</t>
  </si>
  <si>
    <t>SALTILLO CENTRO</t>
  </si>
  <si>
    <t>B300</t>
  </si>
  <si>
    <t>SEARS GUADALAJARA</t>
  </si>
  <si>
    <t>B753</t>
  </si>
  <si>
    <t>SEARS CELAYA 2</t>
  </si>
  <si>
    <t>A811</t>
  </si>
  <si>
    <t>DEVLYN CHEDRAUI CRYSTAL (VHSA)</t>
  </si>
  <si>
    <t>A903</t>
  </si>
  <si>
    <t>SENDERO APODACA</t>
  </si>
  <si>
    <t>A925</t>
  </si>
  <si>
    <t>PUEBLA PLAZA SAN PEDRO</t>
  </si>
  <si>
    <t>A932</t>
  </si>
  <si>
    <t>SAN ANDRES TUXTLA CENTRO</t>
  </si>
  <si>
    <t>A952</t>
  </si>
  <si>
    <t>FRESNILLO ZACATECAS</t>
  </si>
  <si>
    <t>B006</t>
  </si>
  <si>
    <t>CUERNAVACA CENTRO II</t>
  </si>
  <si>
    <t>B037</t>
  </si>
  <si>
    <t>DEVLYN PLAZA PATIO</t>
  </si>
  <si>
    <t>B168</t>
  </si>
  <si>
    <t>LAS AMERICAS CHETUMAL II</t>
  </si>
  <si>
    <t>B276</t>
  </si>
  <si>
    <t>SEARS MERIDA GRAN PLAZA</t>
  </si>
  <si>
    <t>B285</t>
  </si>
  <si>
    <t>SEARS CENTRO (IRAPUATO)</t>
  </si>
  <si>
    <t>A729</t>
  </si>
  <si>
    <t>GRAN PATIO SANTA FE</t>
  </si>
  <si>
    <t>A804</t>
  </si>
  <si>
    <t>PLAZA FIESTA VILLA COAPA</t>
  </si>
  <si>
    <t>A977</t>
  </si>
  <si>
    <t>GUAYMAS EL VIGIA</t>
  </si>
  <si>
    <t>B038</t>
  </si>
  <si>
    <t>GALERIAS LAS TORRES LEON</t>
  </si>
  <si>
    <t>B750</t>
  </si>
  <si>
    <t>SEARS CUAUTITLAN 1o MAYO</t>
  </si>
  <si>
    <t>B777</t>
  </si>
  <si>
    <t>WALMART SAN LUCAS</t>
  </si>
  <si>
    <t>A470</t>
  </si>
  <si>
    <t>CIMACO SALTILLO</t>
  </si>
  <si>
    <t>Cimaco</t>
  </si>
  <si>
    <t>A713</t>
  </si>
  <si>
    <t>GALERIAS DIANA</t>
  </si>
  <si>
    <t>A801</t>
  </si>
  <si>
    <t>CHEDRAUI COMALCALCO</t>
  </si>
  <si>
    <t>A921</t>
  </si>
  <si>
    <t>MERIDA CENTRO</t>
  </si>
  <si>
    <t>A998</t>
  </si>
  <si>
    <t>PLAZA AZCAPOTZALCO</t>
  </si>
  <si>
    <t>B301</t>
  </si>
  <si>
    <t>SEARS COATZACOALCOS</t>
  </si>
  <si>
    <t>B314</t>
  </si>
  <si>
    <t>SEARS CACHANILLAS MEXICALI</t>
  </si>
  <si>
    <t>B316</t>
  </si>
  <si>
    <t>SEARS LA PAZ FORJADORES</t>
  </si>
  <si>
    <t>B651</t>
  </si>
  <si>
    <t>MIYANA POLANCO</t>
  </si>
  <si>
    <t>B786</t>
  </si>
  <si>
    <t>SEARS ALTAMA TAMPICO</t>
  </si>
  <si>
    <t>B901</t>
  </si>
  <si>
    <t>MID TOWN JALISCO DEVLYN</t>
  </si>
  <si>
    <t>B924</t>
  </si>
  <si>
    <t>PASEO 2000 TIJUANA</t>
  </si>
  <si>
    <t>A973</t>
  </si>
  <si>
    <t>HERMOSILLO BACHOCO</t>
  </si>
  <si>
    <t>A974</t>
  </si>
  <si>
    <t>IRAPUATO CENTRO</t>
  </si>
  <si>
    <t>B033</t>
  </si>
  <si>
    <t>PLAZA BICENTENARIO CENTRO (L. MORENO)</t>
  </si>
  <si>
    <t>B181</t>
  </si>
  <si>
    <t>DEVLYN PLAZA CHEDRAUI II</t>
  </si>
  <si>
    <t>B272</t>
  </si>
  <si>
    <t>SEARS CORDOBA</t>
  </si>
  <si>
    <t>B438</t>
  </si>
  <si>
    <t>CIUDAD DEL CARMEN SORIANA</t>
  </si>
  <si>
    <t>B857</t>
  </si>
  <si>
    <t>SEARS AVERANDA</t>
  </si>
  <si>
    <t>B914</t>
  </si>
  <si>
    <t>DELYN ZENTRALIA (COLIMA)</t>
  </si>
  <si>
    <t>A848</t>
  </si>
  <si>
    <t>CAMPECHE CHEDRAUI</t>
  </si>
  <si>
    <t>A963</t>
  </si>
  <si>
    <t>TOLUCA CHEDRAUI</t>
  </si>
  <si>
    <t>B431</t>
  </si>
  <si>
    <t>TEPIC SORIANA LA CIGARRERA</t>
  </si>
  <si>
    <t>B443</t>
  </si>
  <si>
    <t>PARQUE LINDAVISTA II</t>
  </si>
  <si>
    <t>B770</t>
  </si>
  <si>
    <t>DEVLYN SORIANA CARRIZO</t>
  </si>
  <si>
    <t>B838</t>
  </si>
  <si>
    <t>PLAZA CAMPESTRE CD VICTORIA</t>
  </si>
  <si>
    <t>A942</t>
  </si>
  <si>
    <t>PATIO TULANCINGO</t>
  </si>
  <si>
    <t>Hasta 50</t>
  </si>
  <si>
    <t>B290</t>
  </si>
  <si>
    <t>SEARS LA LOMA</t>
  </si>
  <si>
    <t>B312</t>
  </si>
  <si>
    <t>SEARS MAZATLAN</t>
  </si>
  <si>
    <t>B425</t>
  </si>
  <si>
    <t>DEVLYN SORIANA MATAMOROS</t>
  </si>
  <si>
    <t>A792</t>
  </si>
  <si>
    <t>VALLE DORADO</t>
  </si>
  <si>
    <t>B295</t>
  </si>
  <si>
    <t>SEARS CENTRO DURANGO</t>
  </si>
  <si>
    <t>B409</t>
  </si>
  <si>
    <t>SORIANA CIUDAD MANTE</t>
  </si>
  <si>
    <t>B421</t>
  </si>
  <si>
    <t>AMPLIACION SORIANA CD MADERO</t>
  </si>
  <si>
    <t>B788</t>
  </si>
  <si>
    <t>GALERIAS URIANGATO</t>
  </si>
  <si>
    <t>B930</t>
  </si>
  <si>
    <t>SEARS MERIDA</t>
  </si>
  <si>
    <t>A827</t>
  </si>
  <si>
    <t>TIJUANA PLAZA OTAY</t>
  </si>
  <si>
    <t>A947</t>
  </si>
  <si>
    <t>ADUANA I CENTRO (TAMPICO)</t>
  </si>
  <si>
    <t>A997</t>
  </si>
  <si>
    <t>APIZACO GIGANTE</t>
  </si>
  <si>
    <t>B034</t>
  </si>
  <si>
    <t>CENTRICA MONTERREY</t>
  </si>
  <si>
    <t>A723</t>
  </si>
  <si>
    <t>CULIACAN PLAZA FIESTA</t>
  </si>
  <si>
    <t>A760</t>
  </si>
  <si>
    <t>FORUM COATZACOALCOS</t>
  </si>
  <si>
    <t>A897</t>
  </si>
  <si>
    <t>SENDERO SALTILLO</t>
  </si>
  <si>
    <t>A992</t>
  </si>
  <si>
    <t>HERMOSILLO CENTRO</t>
  </si>
  <si>
    <t>B004</t>
  </si>
  <si>
    <t>LOS MOCHIS CENTRO</t>
  </si>
  <si>
    <t>B281</t>
  </si>
  <si>
    <t>SEARS GRAN PLAZA GUADALAJARA</t>
  </si>
  <si>
    <t>A471</t>
  </si>
  <si>
    <t>CIMACO CD JUAREZ</t>
  </si>
  <si>
    <t>A745</t>
  </si>
  <si>
    <t>GALERIAS SAN JUAN DEL RIO</t>
  </si>
  <si>
    <t>A766</t>
  </si>
  <si>
    <t>FORUM TEPIC</t>
  </si>
  <si>
    <t>A773</t>
  </si>
  <si>
    <t>PLAZA CENTRAL</t>
  </si>
  <si>
    <t>A837</t>
  </si>
  <si>
    <t>DEVLYN CHEDRAUI CARRIZAL (VHSA)</t>
  </si>
  <si>
    <t>B148</t>
  </si>
  <si>
    <t>CHEDRAUI PARAISO</t>
  </si>
  <si>
    <t>B273</t>
  </si>
  <si>
    <t>CUERNAVACA SEARS</t>
  </si>
  <si>
    <t>B277</t>
  </si>
  <si>
    <t>SEARS CENTRO MINATITLAN</t>
  </si>
  <si>
    <t>B882</t>
  </si>
  <si>
    <t>WALMART GUASAVE</t>
  </si>
  <si>
    <t>B907</t>
  </si>
  <si>
    <t>CIMACO PASEO MONCLOVA</t>
  </si>
  <si>
    <t>A934</t>
  </si>
  <si>
    <t>MORELIA CAMELINAS</t>
  </si>
  <si>
    <t>A978</t>
  </si>
  <si>
    <t>CULIACAN CENTRO</t>
  </si>
  <si>
    <t>B057</t>
  </si>
  <si>
    <t>AV. HIDALGO CENTRO TAXCO</t>
  </si>
  <si>
    <t>B412</t>
  </si>
  <si>
    <t>CD ACUÑA SORIANA</t>
  </si>
  <si>
    <t>B428</t>
  </si>
  <si>
    <t>MAZATLAN SORIANA</t>
  </si>
  <si>
    <t>A024</t>
  </si>
  <si>
    <t>ESFERA MONTERREY</t>
  </si>
  <si>
    <t>B299</t>
  </si>
  <si>
    <t>SEARS MISIONES</t>
  </si>
  <si>
    <t>B175</t>
  </si>
  <si>
    <t>SENDERO MATAMOROS</t>
  </si>
  <si>
    <t>B264</t>
  </si>
  <si>
    <t>MTY. SEARS CENTRO</t>
  </si>
  <si>
    <t>B297</t>
  </si>
  <si>
    <t>TORREON SEARS GALERIAS LA LAGUNA</t>
  </si>
  <si>
    <t>B469</t>
  </si>
  <si>
    <t>TULANCINGO CENTRO</t>
  </si>
  <si>
    <t>A507</t>
  </si>
  <si>
    <t>DEVLYN MEGA LAS PALMAS (VERUCRUZ)</t>
  </si>
  <si>
    <t>B016</t>
  </si>
  <si>
    <t>VERACRUZ PLAZA MOCAMBO</t>
  </si>
  <si>
    <t>B435</t>
  </si>
  <si>
    <t>TUXTLA GTZ SORIANA</t>
  </si>
  <si>
    <t>B436</t>
  </si>
  <si>
    <t>SORIANA SAN PEDRO</t>
  </si>
  <si>
    <t>B437</t>
  </si>
  <si>
    <t>SORIANA MINATITLAN</t>
  </si>
  <si>
    <t>B613</t>
  </si>
  <si>
    <t>COMITAN CENTRO</t>
  </si>
  <si>
    <t>B727</t>
  </si>
  <si>
    <t>SENDERO CULIACAN</t>
  </si>
  <si>
    <t>A042</t>
  </si>
  <si>
    <t>WALMART COMITAN CHIAPAS</t>
  </si>
  <si>
    <t>A733</t>
  </si>
  <si>
    <t>GALERIAS CELAYA</t>
  </si>
  <si>
    <t>A749</t>
  </si>
  <si>
    <t>CIUDAD DEL CARMEN</t>
  </si>
  <si>
    <t>A821</t>
  </si>
  <si>
    <t>FORJADORES</t>
  </si>
  <si>
    <t>A990</t>
  </si>
  <si>
    <t>GOMEZ PALACIO CENTRO</t>
  </si>
  <si>
    <t>B041</t>
  </si>
  <si>
    <t>ZACATECAS CENTRO II</t>
  </si>
  <si>
    <t>B313</t>
  </si>
  <si>
    <t>SEARS ZACATECAS</t>
  </si>
  <si>
    <t>A946</t>
  </si>
  <si>
    <t>NUEVO LAREDO CENTRO</t>
  </si>
  <si>
    <t>B302</t>
  </si>
  <si>
    <t>SEARS ALUMINIO</t>
  </si>
  <si>
    <t>B318</t>
  </si>
  <si>
    <t>SEARS CENTRO (ENSENADA)</t>
  </si>
  <si>
    <t>B319</t>
  </si>
  <si>
    <t>SEARS CENTRO (LA PAZ)</t>
  </si>
  <si>
    <t>B045</t>
  </si>
  <si>
    <t>IXTAPAN DE LA SAL CENTRO</t>
  </si>
  <si>
    <t>A919</t>
  </si>
  <si>
    <t>PUNTO LA PAZ</t>
  </si>
  <si>
    <t>B291</t>
  </si>
  <si>
    <t>SEARS ALTABRISA TABASCO</t>
  </si>
  <si>
    <t>B560</t>
  </si>
  <si>
    <t>SEARS IRAPUATO CIBELES</t>
  </si>
  <si>
    <t>A826</t>
  </si>
  <si>
    <t>COATZACOALCOS CENTRO</t>
  </si>
  <si>
    <t>A890</t>
  </si>
  <si>
    <t>PLAZA POZUELOS</t>
  </si>
  <si>
    <t>A982</t>
  </si>
  <si>
    <t>PLAZA CADEREYTA</t>
  </si>
  <si>
    <t>B298</t>
  </si>
  <si>
    <t>SEARS FORUM CULIACAN</t>
  </si>
  <si>
    <t>B484</t>
  </si>
  <si>
    <t>WALMART MEXICO 68 CULIACAN</t>
  </si>
  <si>
    <t>B413</t>
  </si>
  <si>
    <t>TAMPICO SORIANA EJERCITO</t>
  </si>
  <si>
    <t>B471</t>
  </si>
  <si>
    <t>WALMART AZCAPOTZALCO</t>
  </si>
  <si>
    <t>B747</t>
  </si>
  <si>
    <t>SEARS SANTA FE 3800</t>
  </si>
  <si>
    <t>A819</t>
  </si>
  <si>
    <t>DEVLYN CD. JUAREZ</t>
  </si>
  <si>
    <t>A959</t>
  </si>
  <si>
    <t>MTY. HIPERMART</t>
  </si>
  <si>
    <t>B234</t>
  </si>
  <si>
    <t>SAMS CLUB ZACATECAS WALMART</t>
  </si>
  <si>
    <t>B287</t>
  </si>
  <si>
    <t>SEARS CULIACAN</t>
  </si>
  <si>
    <t>B415</t>
  </si>
  <si>
    <t>TAMPICO SORIANA AEROPUERTO</t>
  </si>
  <si>
    <t>B487</t>
  </si>
  <si>
    <t>WALMART SUPERCENTER IRAPUATO</t>
  </si>
  <si>
    <t>B887</t>
  </si>
  <si>
    <t>HIPER LAS PALMAS CD VICTORIA</t>
  </si>
  <si>
    <t>A469</t>
  </si>
  <si>
    <t>CIMACO MAZATLAN</t>
  </si>
  <si>
    <t>A988</t>
  </si>
  <si>
    <t>MEGA SORIANA (XALAPA)</t>
  </si>
  <si>
    <t>B268</t>
  </si>
  <si>
    <t>SEARS CENTRO (VERACRUZ)</t>
  </si>
  <si>
    <t>B871</t>
  </si>
  <si>
    <t>EXPLANADA CULIACAN</t>
  </si>
  <si>
    <t>A968</t>
  </si>
  <si>
    <t>CHEDRAUI (S.L.P)</t>
  </si>
  <si>
    <t>B292</t>
  </si>
  <si>
    <t>SEARS MORELIA PASEOS ALTOZANO</t>
  </si>
  <si>
    <t>A720</t>
  </si>
  <si>
    <t>LA CUSPIDE</t>
  </si>
  <si>
    <t>B243</t>
  </si>
  <si>
    <t>DEVLYN SORIANA LAS ROSAS</t>
  </si>
  <si>
    <t>B311</t>
  </si>
  <si>
    <t>SEARS LOS MOCHIS</t>
  </si>
  <si>
    <t>B411</t>
  </si>
  <si>
    <t>COATZACOALCOS SORIANA</t>
  </si>
  <si>
    <t>B432</t>
  </si>
  <si>
    <t>SORIANA ALTAMIRA</t>
  </si>
  <si>
    <t>B752</t>
  </si>
  <si>
    <t>SEARS CELAYA TORRES LANDA</t>
  </si>
  <si>
    <t>B879</t>
  </si>
  <si>
    <t>PUNTO VALLE MTY</t>
  </si>
  <si>
    <t>B017</t>
  </si>
  <si>
    <t>CD ACUÑA CENTRO</t>
  </si>
  <si>
    <t>B265</t>
  </si>
  <si>
    <t>TAMPICO SEARS</t>
  </si>
  <si>
    <t>B748</t>
  </si>
  <si>
    <t>SEARS INTERLOMAS DE BARRANCA</t>
  </si>
  <si>
    <t>B933</t>
  </si>
  <si>
    <t>CIMACO CULIACAN</t>
  </si>
  <si>
    <t>A510</t>
  </si>
  <si>
    <t>MEGA MAZATLAN</t>
  </si>
  <si>
    <t>B636</t>
  </si>
  <si>
    <t>MARINA MANZANILLO</t>
  </si>
  <si>
    <t>DIF</t>
  </si>
  <si>
    <t>DINERO X SUC</t>
  </si>
  <si>
    <t>GANADOR</t>
  </si>
  <si>
    <t>NO GANADOR</t>
  </si>
  <si>
    <t>TOTAL METAS</t>
  </si>
  <si>
    <t>VTA AG 13-MAR/30-ABR</t>
  </si>
  <si>
    <t>ESTATUS</t>
  </si>
  <si>
    <t>ID</t>
  </si>
  <si>
    <t>Depto_ID</t>
  </si>
  <si>
    <t>Descripcion_Depto</t>
  </si>
  <si>
    <t>$$</t>
  </si>
  <si>
    <t>CIMACO CULIACÁN</t>
  </si>
  <si>
    <t>DEVLYN MEGA LAS PALMAS (VERACRUZ)</t>
  </si>
  <si>
    <t>AMPLIACION METEPEC</t>
  </si>
  <si>
    <t>GUADALAJARA PLAZA DEL SOL</t>
  </si>
  <si>
    <t>HOSPITAL DE LA LUZ CORPORATIVA</t>
  </si>
  <si>
    <t>SEARS MONTERREY GALERIAS</t>
  </si>
  <si>
    <t>VETRO PARQUE LINDAVISTA</t>
  </si>
  <si>
    <t>VTA ANTES RALLY SEM 1 A 10</t>
  </si>
  <si>
    <t>VTA RALLY SEM COMPLETAS</t>
  </si>
  <si>
    <t>DIF CRECIMIENTO PROM</t>
  </si>
  <si>
    <t>VENTA SEM PROM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</si>
</sst>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0.0%"/>
    <numFmt numFmtId="165" formatCode="_-* #,##0_-;\-* #,##0_-;_-* &quot;-&quot;??_-;_-@_-"/>
  </numFmts>
  <fonts count="10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</font>
    <font>
      <b/>
      <sz val="11"/>
      <color rgb="FF000000"/>
      <name val="Aptos Narrow"/>
      <family val="2"/>
    </font>
    <font>
      <b/>
      <sz val="11"/>
      <color rgb="FFFFFFFF"/>
      <name val="Aptos Narrow"/>
      <family val="2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0"/>
      <color theme="0"/>
      <name val="Arial"/>
      <family val="2"/>
    </font>
    <font>
      <sz val="10"/>
      <color indexed="8"/>
      <name val="Arial"/>
      <family val="2"/>
    </font>
    <font>
      <b/>
      <sz val="11"/>
      <color theme="1"/>
      <name val="Aptos Narrow"/>
      <family val="2"/>
    </font>
  </fonts>
  <fills count="7">
    <fill>
      <patternFill patternType="none"/>
    </fill>
    <fill>
      <patternFill patternType="gray125"/>
    </fill>
    <fill>
      <patternFill patternType="solid">
        <fgColor rgb="FF0C769E"/>
        <bgColor rgb="FF000000"/>
      </patternFill>
    </fill>
    <fill>
      <patternFill patternType="solid">
        <fgColor rgb="FFCAEDFB"/>
        <bgColor rgb="FF000000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3" tint="0.249977111117893"/>
        <bgColor indexed="64"/>
      </patternFill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20">
    <xf numFmtId="0" fontId="0" fillId="0" borderId="0" xfId="0"/>
    <xf numFmtId="0" fontId="2" fillId="0" borderId="0" xfId="0" applyFont="1" applyAlignment="1">
      <alignment horizontal="center"/>
    </xf>
    <xf numFmtId="3" fontId="3" fillId="0" borderId="0" xfId="0" applyNumberFormat="1" applyFont="1" applyAlignment="1">
      <alignment horizontal="center"/>
    </xf>
    <xf numFmtId="0" fontId="4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center"/>
    </xf>
    <xf numFmtId="164" fontId="2" fillId="0" borderId="0" xfId="1" applyNumberFormat="1" applyFont="1" applyFill="1" applyBorder="1" applyAlignment="1">
      <alignment horizontal="center"/>
    </xf>
    <xf numFmtId="3" fontId="2" fillId="0" borderId="0" xfId="1" applyNumberFormat="1" applyFont="1" applyFill="1" applyBorder="1" applyAlignment="1">
      <alignment horizontal="center"/>
    </xf>
    <xf numFmtId="9" fontId="0" fillId="0" borderId="0" xfId="1" applyFont="1"/>
    <xf numFmtId="0" fontId="5" fillId="4" borderId="0" xfId="0" applyFont="1" applyFill="1" applyAlignment="1">
      <alignment horizontal="center" vertical="center" wrapText="1"/>
    </xf>
    <xf numFmtId="165" fontId="2" fillId="0" borderId="0" xfId="2" applyNumberFormat="1" applyFont="1" applyFill="1" applyBorder="1" applyAlignment="1">
      <alignment horizontal="center"/>
    </xf>
    <xf numFmtId="0" fontId="7" fillId="5" borderId="0" xfId="0" applyFont="1" applyFill="1" applyAlignment="1">
      <alignment horizontal="center" vertical="center" wrapText="1"/>
    </xf>
    <xf numFmtId="0" fontId="8" fillId="6" borderId="0" xfId="0" applyFont="1" applyFill="1" applyAlignment="1">
      <alignment horizontal="right" vertical="top"/>
    </xf>
    <xf numFmtId="0" fontId="8" fillId="6" borderId="0" xfId="0" applyFont="1" applyFill="1" applyAlignment="1">
      <alignment horizontal="left" vertical="top"/>
    </xf>
    <xf numFmtId="0" fontId="0" fillId="0" borderId="0" xfId="0" applyAlignment="1">
      <alignment horizontal="center"/>
    </xf>
    <xf numFmtId="3" fontId="9" fillId="0" borderId="0" xfId="1" applyNumberFormat="1" applyFont="1" applyFill="1" applyBorder="1" applyAlignment="1">
      <alignment horizontal="center"/>
    </xf>
    <xf numFmtId="165" fontId="6" fillId="0" borderId="0" xfId="2" applyNumberFormat="1" applyFont="1"/>
    <xf numFmtId="3" fontId="0" fillId="0" borderId="0" xfId="0" applyNumberFormat="1" applyAlignment="1">
      <alignment horizontal="center"/>
    </xf>
    <xf numFmtId="43" fontId="0" fillId="0" borderId="0" xfId="0" applyNumberFormat="1"/>
    <xf numFmtId="0" fontId="0" fillId="0" borderId="0" xfId="0" applyAlignment="1">
      <alignment horizontal="center"/>
    </xf>
  </cellXfs>
  <cellStyles count="3">
    <cellStyle name="Millares" xfId="2" builtinId="3"/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E128E9-B700-405E-BB13-507CB9B6A70E}">
  <dimension ref="A1:T446"/>
  <sheetViews>
    <sheetView workbookViewId="0">
      <selection activeCell="C3" sqref="C3"/>
    </sheetView>
  </sheetViews>
  <sheetFormatPr baseColWidth="10" defaultRowHeight="14.25"/>
  <cols>
    <col min="2" max="2" width="37.375" bestFit="1" customWidth="1"/>
    <col min="7" max="13" width="11.5" customWidth="1"/>
    <col min="16" max="16" width="13.25" customWidth="1"/>
    <col min="20" max="20" width="12.5" bestFit="1" customWidth="1"/>
  </cols>
  <sheetData>
    <row r="1" spans="1:20">
      <c r="N1" s="19" t="s">
        <v>928</v>
      </c>
      <c r="O1" s="19"/>
      <c r="P1" s="8"/>
    </row>
    <row r="2" spans="1:20" ht="15">
      <c r="A2" s="1"/>
      <c r="B2" s="1"/>
      <c r="C2" s="1"/>
      <c r="D2" s="1"/>
      <c r="E2" s="1"/>
      <c r="F2" s="1"/>
      <c r="G2" s="2">
        <v>4694.162232583225</v>
      </c>
      <c r="H2" s="2">
        <v>5547.1485701595202</v>
      </c>
      <c r="I2" s="2">
        <v>6124.1101559290864</v>
      </c>
      <c r="J2" s="2">
        <v>6859.8101209214228</v>
      </c>
      <c r="K2" s="2">
        <v>7424.1138675389466</v>
      </c>
      <c r="L2" s="2">
        <v>8027.668121151828</v>
      </c>
      <c r="M2" s="2">
        <v>3466.2507852414792</v>
      </c>
      <c r="N2" s="2">
        <f>SUBTOTAL(9,N4:N446)</f>
        <v>5780.700000000008</v>
      </c>
      <c r="O2" s="15">
        <f>SUBTOTAL(9,O4:O446)</f>
        <v>6271.4000000000033</v>
      </c>
      <c r="P2" s="2"/>
      <c r="Q2" s="16">
        <f>SUBTOTAL(9,Q4:Q446)</f>
        <v>42143.263853525437</v>
      </c>
      <c r="R2" s="15">
        <f>SUBTOTAL(9,R4:R446)</f>
        <v>45400</v>
      </c>
      <c r="S2" s="18">
        <f>R2-Q2</f>
        <v>3256.7361464745627</v>
      </c>
      <c r="T2" s="8">
        <f>S2/R2</f>
        <v>7.1734276354065263E-2</v>
      </c>
    </row>
    <row r="3" spans="1:20" ht="60">
      <c r="A3" s="3" t="s">
        <v>0</v>
      </c>
      <c r="B3" s="3" t="s">
        <v>1</v>
      </c>
      <c r="C3" s="3" t="s">
        <v>2</v>
      </c>
      <c r="D3" s="3" t="s">
        <v>3</v>
      </c>
      <c r="E3" s="4" t="s">
        <v>4</v>
      </c>
      <c r="F3" s="9" t="s">
        <v>908</v>
      </c>
      <c r="G3" s="4" t="s">
        <v>5</v>
      </c>
      <c r="H3" s="4" t="s">
        <v>6</v>
      </c>
      <c r="I3" s="4" t="s">
        <v>7</v>
      </c>
      <c r="J3" s="4" t="s">
        <v>8</v>
      </c>
      <c r="K3" s="4" t="s">
        <v>9</v>
      </c>
      <c r="L3" s="4" t="s">
        <v>10</v>
      </c>
      <c r="M3" s="4" t="s">
        <v>11</v>
      </c>
      <c r="N3" s="4" t="s">
        <v>925</v>
      </c>
      <c r="O3" s="4" t="s">
        <v>926</v>
      </c>
      <c r="P3" s="4" t="s">
        <v>927</v>
      </c>
      <c r="Q3" s="4" t="s">
        <v>911</v>
      </c>
      <c r="R3" s="4" t="s">
        <v>912</v>
      </c>
      <c r="S3" s="4" t="s">
        <v>907</v>
      </c>
      <c r="T3" s="4" t="s">
        <v>913</v>
      </c>
    </row>
    <row r="4" spans="1:20">
      <c r="A4" s="5" t="s">
        <v>12</v>
      </c>
      <c r="B4" s="5" t="s">
        <v>13</v>
      </c>
      <c r="C4" s="5" t="s">
        <v>14</v>
      </c>
      <c r="D4" s="5">
        <v>4</v>
      </c>
      <c r="E4" s="6" t="s">
        <v>15</v>
      </c>
      <c r="F4" s="10">
        <v>1000</v>
      </c>
      <c r="G4" s="7">
        <v>75.627481936386118</v>
      </c>
      <c r="H4" s="7">
        <v>89.369914694517718</v>
      </c>
      <c r="I4" s="7">
        <v>98.665322425188378</v>
      </c>
      <c r="J4" s="7">
        <v>110.51815857704834</v>
      </c>
      <c r="K4" s="7">
        <v>119.60963630820203</v>
      </c>
      <c r="L4" s="7">
        <v>129.33347757127206</v>
      </c>
      <c r="M4" s="7">
        <v>55.844643976775309</v>
      </c>
      <c r="N4" s="7">
        <v>119.4</v>
      </c>
      <c r="O4" s="7">
        <v>106.2</v>
      </c>
      <c r="P4" s="7">
        <f>O4-N4</f>
        <v>-13.200000000000003</v>
      </c>
      <c r="Q4" s="17">
        <v>678.96863548938984</v>
      </c>
      <c r="R4" s="14">
        <v>731</v>
      </c>
      <c r="S4" s="7">
        <v>52.03136451061016</v>
      </c>
      <c r="T4" s="8" t="s">
        <v>909</v>
      </c>
    </row>
    <row r="5" spans="1:20">
      <c r="A5" s="5" t="s">
        <v>16</v>
      </c>
      <c r="B5" s="5" t="s">
        <v>17</v>
      </c>
      <c r="C5" s="5" t="s">
        <v>18</v>
      </c>
      <c r="D5" s="5">
        <v>0</v>
      </c>
      <c r="E5" s="6" t="s">
        <v>15</v>
      </c>
      <c r="F5" s="10">
        <v>1000</v>
      </c>
      <c r="G5" s="7">
        <v>43.613394490922055</v>
      </c>
      <c r="H5" s="7">
        <v>51.538478412789367</v>
      </c>
      <c r="I5" s="7">
        <v>56.899020294280419</v>
      </c>
      <c r="J5" s="7">
        <v>63.734398197807025</v>
      </c>
      <c r="K5" s="7">
        <v>68.977336275895652</v>
      </c>
      <c r="L5" s="7">
        <v>74.584950255825589</v>
      </c>
      <c r="M5" s="7">
        <v>32.204886710533003</v>
      </c>
      <c r="N5" s="7">
        <v>54.8</v>
      </c>
      <c r="O5" s="7">
        <v>57</v>
      </c>
      <c r="P5" s="7">
        <f t="shared" ref="P5:P68" si="0">O5-N5</f>
        <v>2.2000000000000028</v>
      </c>
      <c r="Q5" s="17">
        <v>391.5524646380531</v>
      </c>
      <c r="R5" s="14">
        <v>416</v>
      </c>
      <c r="S5" s="7">
        <v>24.447535361946905</v>
      </c>
      <c r="T5" s="8" t="s">
        <v>909</v>
      </c>
    </row>
    <row r="6" spans="1:20">
      <c r="A6" s="5" t="s">
        <v>19</v>
      </c>
      <c r="B6" s="5" t="s">
        <v>20</v>
      </c>
      <c r="C6" s="5" t="s">
        <v>18</v>
      </c>
      <c r="D6" s="5">
        <v>1</v>
      </c>
      <c r="E6" s="6" t="s">
        <v>15</v>
      </c>
      <c r="F6" s="10">
        <v>1000</v>
      </c>
      <c r="G6" s="7">
        <v>42.685449927285411</v>
      </c>
      <c r="H6" s="7">
        <v>50.44191504230448</v>
      </c>
      <c r="I6" s="7">
        <v>55.688402841210618</v>
      </c>
      <c r="J6" s="7">
        <v>62.37834717232176</v>
      </c>
      <c r="K6" s="7">
        <v>67.509733376408505</v>
      </c>
      <c r="L6" s="7">
        <v>72.998036420595255</v>
      </c>
      <c r="M6" s="7">
        <v>31.519676354989745</v>
      </c>
      <c r="N6" s="7">
        <v>44.9</v>
      </c>
      <c r="O6" s="7">
        <v>53.8</v>
      </c>
      <c r="P6" s="7">
        <f t="shared" si="0"/>
        <v>8.8999999999999986</v>
      </c>
      <c r="Q6" s="17">
        <v>383.22156113511579</v>
      </c>
      <c r="R6" s="14">
        <v>374</v>
      </c>
      <c r="S6" s="7">
        <v>-9.2215611351157918</v>
      </c>
      <c r="T6" s="8" t="s">
        <v>910</v>
      </c>
    </row>
    <row r="7" spans="1:20">
      <c r="A7" s="5" t="s">
        <v>21</v>
      </c>
      <c r="B7" s="5" t="s">
        <v>22</v>
      </c>
      <c r="C7" s="5" t="s">
        <v>18</v>
      </c>
      <c r="D7" s="5">
        <v>0</v>
      </c>
      <c r="E7" s="6" t="s">
        <v>15</v>
      </c>
      <c r="F7" s="10">
        <v>1000</v>
      </c>
      <c r="G7" s="7">
        <v>38.045727109102216</v>
      </c>
      <c r="H7" s="7">
        <v>44.959098189880081</v>
      </c>
      <c r="I7" s="7">
        <v>49.63531557586164</v>
      </c>
      <c r="J7" s="7">
        <v>55.598092044895488</v>
      </c>
      <c r="K7" s="7">
        <v>60.171718878972804</v>
      </c>
      <c r="L7" s="7">
        <v>65.063467244443615</v>
      </c>
      <c r="M7" s="7">
        <v>28.093624577273474</v>
      </c>
      <c r="N7" s="7">
        <v>49.6</v>
      </c>
      <c r="O7" s="7">
        <v>54.4</v>
      </c>
      <c r="P7" s="7">
        <f t="shared" si="0"/>
        <v>4.7999999999999972</v>
      </c>
      <c r="Q7" s="17">
        <v>341.56704362042933</v>
      </c>
      <c r="R7" s="14">
        <v>379</v>
      </c>
      <c r="S7" s="7">
        <v>37.432956379570669</v>
      </c>
      <c r="T7" s="8" t="s">
        <v>909</v>
      </c>
    </row>
    <row r="8" spans="1:20">
      <c r="A8" s="5" t="s">
        <v>23</v>
      </c>
      <c r="B8" s="5" t="s">
        <v>24</v>
      </c>
      <c r="C8" s="5" t="s">
        <v>18</v>
      </c>
      <c r="D8" s="5">
        <v>1</v>
      </c>
      <c r="E8" s="6" t="s">
        <v>15</v>
      </c>
      <c r="F8" s="10">
        <v>1000</v>
      </c>
      <c r="G8" s="7">
        <v>37.272439972738347</v>
      </c>
      <c r="H8" s="7">
        <v>44.04529538114268</v>
      </c>
      <c r="I8" s="7">
        <v>48.626467698303472</v>
      </c>
      <c r="J8" s="7">
        <v>54.468049523657768</v>
      </c>
      <c r="K8" s="7">
        <v>58.948716462733515</v>
      </c>
      <c r="L8" s="7">
        <v>63.74103904841833</v>
      </c>
      <c r="M8" s="7">
        <v>27.522615947654085</v>
      </c>
      <c r="N8" s="7">
        <v>41.7</v>
      </c>
      <c r="O8" s="7">
        <v>46.8</v>
      </c>
      <c r="P8" s="7">
        <f t="shared" si="0"/>
        <v>5.0999999999999943</v>
      </c>
      <c r="Q8" s="17">
        <v>334.62462403464815</v>
      </c>
      <c r="R8" s="14">
        <v>351</v>
      </c>
      <c r="S8" s="7">
        <v>16.37537596535185</v>
      </c>
      <c r="T8" s="8" t="s">
        <v>909</v>
      </c>
    </row>
    <row r="9" spans="1:20">
      <c r="A9" s="5" t="s">
        <v>25</v>
      </c>
      <c r="B9" s="5" t="s">
        <v>26</v>
      </c>
      <c r="C9" s="5" t="s">
        <v>18</v>
      </c>
      <c r="D9" s="5">
        <v>0</v>
      </c>
      <c r="E9" s="6" t="s">
        <v>15</v>
      </c>
      <c r="F9" s="10">
        <v>1000</v>
      </c>
      <c r="G9" s="7">
        <v>32.323402300009604</v>
      </c>
      <c r="H9" s="7">
        <v>38.196957405223316</v>
      </c>
      <c r="I9" s="7">
        <v>42.169841281931227</v>
      </c>
      <c r="J9" s="7">
        <v>47.235777387736405</v>
      </c>
      <c r="K9" s="7">
        <v>51.121500998802091</v>
      </c>
      <c r="L9" s="7">
        <v>55.277498593856556</v>
      </c>
      <c r="M9" s="7">
        <v>23.86816071809006</v>
      </c>
      <c r="N9" s="7">
        <v>37.1</v>
      </c>
      <c r="O9" s="7">
        <v>47.4</v>
      </c>
      <c r="P9" s="7">
        <f t="shared" si="0"/>
        <v>10.299999999999997</v>
      </c>
      <c r="Q9" s="17">
        <v>290.19313868564922</v>
      </c>
      <c r="R9" s="14">
        <v>344</v>
      </c>
      <c r="S9" s="7">
        <v>53.806861314350783</v>
      </c>
      <c r="T9" s="8" t="s">
        <v>909</v>
      </c>
    </row>
    <row r="10" spans="1:20">
      <c r="A10" s="5" t="s">
        <v>27</v>
      </c>
      <c r="B10" s="5" t="s">
        <v>28</v>
      </c>
      <c r="C10" s="5" t="s">
        <v>18</v>
      </c>
      <c r="D10" s="5">
        <v>2</v>
      </c>
      <c r="E10" s="6" t="s">
        <v>15</v>
      </c>
      <c r="F10" s="10">
        <v>1000</v>
      </c>
      <c r="G10" s="7">
        <v>31.859430018191283</v>
      </c>
      <c r="H10" s="7">
        <v>37.648675719980872</v>
      </c>
      <c r="I10" s="7">
        <v>41.564532555396326</v>
      </c>
      <c r="J10" s="7">
        <v>46.55775187499377</v>
      </c>
      <c r="K10" s="7">
        <v>50.387699549058517</v>
      </c>
      <c r="L10" s="7">
        <v>54.484041676241389</v>
      </c>
      <c r="M10" s="7">
        <v>23.525555540318425</v>
      </c>
      <c r="N10" s="7">
        <v>27.3</v>
      </c>
      <c r="O10" s="7">
        <v>32.4</v>
      </c>
      <c r="P10" s="7">
        <f t="shared" si="0"/>
        <v>5.0999999999999979</v>
      </c>
      <c r="Q10" s="17">
        <v>286.02768693418057</v>
      </c>
      <c r="R10" s="14">
        <v>218</v>
      </c>
      <c r="S10" s="7">
        <v>-68.027686934180565</v>
      </c>
      <c r="T10" s="8" t="s">
        <v>910</v>
      </c>
    </row>
    <row r="11" spans="1:20">
      <c r="A11" s="5" t="s">
        <v>29</v>
      </c>
      <c r="B11" s="5" t="s">
        <v>30</v>
      </c>
      <c r="C11" s="5" t="s">
        <v>18</v>
      </c>
      <c r="D11" s="5">
        <v>1</v>
      </c>
      <c r="E11" s="6" t="s">
        <v>15</v>
      </c>
      <c r="F11" s="10">
        <v>1000</v>
      </c>
      <c r="G11" s="7">
        <v>29.230253754554138</v>
      </c>
      <c r="H11" s="7">
        <v>34.541746170273726</v>
      </c>
      <c r="I11" s="7">
        <v>38.134449771698577</v>
      </c>
      <c r="J11" s="7">
        <v>42.715607302785557</v>
      </c>
      <c r="K11" s="7">
        <v>46.229491333844955</v>
      </c>
      <c r="L11" s="7">
        <v>49.987785809755451</v>
      </c>
      <c r="M11" s="7">
        <v>21.584126199612545</v>
      </c>
      <c r="N11" s="7">
        <v>42.2</v>
      </c>
      <c r="O11" s="7">
        <v>56.4</v>
      </c>
      <c r="P11" s="7">
        <f t="shared" si="0"/>
        <v>14.199999999999996</v>
      </c>
      <c r="Q11" s="17">
        <v>262.42346034252495</v>
      </c>
      <c r="R11" s="14">
        <v>396</v>
      </c>
      <c r="S11" s="7">
        <v>133.57653965747505</v>
      </c>
      <c r="T11" s="8" t="s">
        <v>909</v>
      </c>
    </row>
    <row r="12" spans="1:20">
      <c r="A12" s="5" t="s">
        <v>31</v>
      </c>
      <c r="B12" s="5" t="s">
        <v>32</v>
      </c>
      <c r="C12" s="5" t="s">
        <v>18</v>
      </c>
      <c r="D12" s="5">
        <v>0</v>
      </c>
      <c r="E12" s="6" t="s">
        <v>15</v>
      </c>
      <c r="F12" s="10">
        <v>1000</v>
      </c>
      <c r="G12" s="7">
        <v>28.302309190917502</v>
      </c>
      <c r="H12" s="7">
        <v>33.445182799788839</v>
      </c>
      <c r="I12" s="7">
        <v>36.923832318628776</v>
      </c>
      <c r="J12" s="7">
        <v>41.3595562773003</v>
      </c>
      <c r="K12" s="7">
        <v>44.761888434357815</v>
      </c>
      <c r="L12" s="7">
        <v>48.400871974525117</v>
      </c>
      <c r="M12" s="7">
        <v>20.898915844069286</v>
      </c>
      <c r="N12" s="7">
        <v>42.5</v>
      </c>
      <c r="O12" s="7">
        <v>50</v>
      </c>
      <c r="P12" s="7">
        <f t="shared" si="0"/>
        <v>7.5</v>
      </c>
      <c r="Q12" s="17">
        <v>254.09255683958764</v>
      </c>
      <c r="R12" s="14">
        <v>372</v>
      </c>
      <c r="S12" s="7">
        <v>117.90744316041236</v>
      </c>
      <c r="T12" s="8" t="s">
        <v>909</v>
      </c>
    </row>
    <row r="13" spans="1:20">
      <c r="A13" s="5" t="s">
        <v>33</v>
      </c>
      <c r="B13" s="5" t="s">
        <v>34</v>
      </c>
      <c r="C13" s="5" t="s">
        <v>18</v>
      </c>
      <c r="D13" s="5">
        <v>0</v>
      </c>
      <c r="E13" s="6" t="s">
        <v>15</v>
      </c>
      <c r="F13" s="10">
        <v>1000</v>
      </c>
      <c r="G13" s="7">
        <v>27.529022054553636</v>
      </c>
      <c r="H13" s="7">
        <v>32.531379991051445</v>
      </c>
      <c r="I13" s="7">
        <v>35.914984441070622</v>
      </c>
      <c r="J13" s="7">
        <v>40.229513756062588</v>
      </c>
      <c r="K13" s="7">
        <v>43.538886018118532</v>
      </c>
      <c r="L13" s="7">
        <v>47.078443778499846</v>
      </c>
      <c r="M13" s="7">
        <v>20.327907214449908</v>
      </c>
      <c r="N13" s="7">
        <v>29</v>
      </c>
      <c r="O13" s="7">
        <v>36.4</v>
      </c>
      <c r="P13" s="7">
        <f t="shared" si="0"/>
        <v>7.3999999999999986</v>
      </c>
      <c r="Q13" s="17">
        <v>247.15013725380658</v>
      </c>
      <c r="R13" s="14">
        <v>264</v>
      </c>
      <c r="S13" s="7">
        <v>16.849862746193423</v>
      </c>
      <c r="T13" s="8" t="s">
        <v>909</v>
      </c>
    </row>
    <row r="14" spans="1:20">
      <c r="A14" s="5" t="s">
        <v>35</v>
      </c>
      <c r="B14" s="5" t="s">
        <v>36</v>
      </c>
      <c r="C14" s="5" t="s">
        <v>18</v>
      </c>
      <c r="D14" s="5">
        <v>0</v>
      </c>
      <c r="E14" s="6" t="s">
        <v>15</v>
      </c>
      <c r="F14" s="10">
        <v>1000</v>
      </c>
      <c r="G14" s="7">
        <v>26.91039234546254</v>
      </c>
      <c r="H14" s="7">
        <v>31.800337744061519</v>
      </c>
      <c r="I14" s="7">
        <v>35.107906139024088</v>
      </c>
      <c r="J14" s="7">
        <v>39.325479739072414</v>
      </c>
      <c r="K14" s="7">
        <v>42.560484085127101</v>
      </c>
      <c r="L14" s="7">
        <v>46.020501221679623</v>
      </c>
      <c r="M14" s="7">
        <v>19.871100310754407</v>
      </c>
      <c r="N14" s="7">
        <v>37.299999999999997</v>
      </c>
      <c r="O14" s="7">
        <v>53.8</v>
      </c>
      <c r="P14" s="7">
        <f t="shared" si="0"/>
        <v>16.5</v>
      </c>
      <c r="Q14" s="17">
        <v>241.59620158518169</v>
      </c>
      <c r="R14" s="14">
        <v>424</v>
      </c>
      <c r="S14" s="7">
        <v>182.40379841481831</v>
      </c>
      <c r="T14" s="8" t="s">
        <v>909</v>
      </c>
    </row>
    <row r="15" spans="1:20">
      <c r="A15" s="5" t="s">
        <v>37</v>
      </c>
      <c r="B15" s="5" t="s">
        <v>38</v>
      </c>
      <c r="C15" s="5" t="s">
        <v>18</v>
      </c>
      <c r="D15" s="5">
        <v>1</v>
      </c>
      <c r="E15" s="6" t="s">
        <v>15</v>
      </c>
      <c r="F15" s="10">
        <v>1000</v>
      </c>
      <c r="G15" s="7">
        <v>26.446420063644222</v>
      </c>
      <c r="H15" s="7">
        <v>31.252056058819079</v>
      </c>
      <c r="I15" s="7">
        <v>34.50259741248918</v>
      </c>
      <c r="J15" s="7">
        <v>38.647454226329785</v>
      </c>
      <c r="K15" s="7">
        <v>41.826682635383534</v>
      </c>
      <c r="L15" s="7">
        <v>45.227044304064457</v>
      </c>
      <c r="M15" s="7">
        <v>19.528495132982776</v>
      </c>
      <c r="N15" s="7">
        <v>36.9</v>
      </c>
      <c r="O15" s="7">
        <v>44.6</v>
      </c>
      <c r="P15" s="7">
        <f t="shared" si="0"/>
        <v>7.7000000000000028</v>
      </c>
      <c r="Q15" s="17">
        <v>237.43074983371307</v>
      </c>
      <c r="R15" s="14">
        <v>299</v>
      </c>
      <c r="S15" s="7">
        <v>61.569250166286935</v>
      </c>
      <c r="T15" s="8" t="s">
        <v>909</v>
      </c>
    </row>
    <row r="16" spans="1:20">
      <c r="A16" s="5" t="s">
        <v>39</v>
      </c>
      <c r="B16" s="5" t="s">
        <v>40</v>
      </c>
      <c r="C16" s="5" t="s">
        <v>18</v>
      </c>
      <c r="D16" s="5">
        <v>1</v>
      </c>
      <c r="E16" s="6" t="s">
        <v>15</v>
      </c>
      <c r="F16" s="10">
        <v>1000</v>
      </c>
      <c r="G16" s="7">
        <v>25.827790354553127</v>
      </c>
      <c r="H16" s="7">
        <v>30.52101381182916</v>
      </c>
      <c r="I16" s="7">
        <v>33.69551911044266</v>
      </c>
      <c r="J16" s="7">
        <v>37.743420209339611</v>
      </c>
      <c r="K16" s="7">
        <v>40.848280702392103</v>
      </c>
      <c r="L16" s="7">
        <v>44.169101747244234</v>
      </c>
      <c r="M16" s="7">
        <v>19.071688229287272</v>
      </c>
      <c r="N16" s="7">
        <v>29.5</v>
      </c>
      <c r="O16" s="7">
        <v>34</v>
      </c>
      <c r="P16" s="7">
        <f t="shared" si="0"/>
        <v>4.5</v>
      </c>
      <c r="Q16" s="17">
        <v>231.87681416508815</v>
      </c>
      <c r="R16" s="14">
        <v>235</v>
      </c>
      <c r="S16" s="7">
        <v>3.1231858349118511</v>
      </c>
      <c r="T16" s="8" t="s">
        <v>909</v>
      </c>
    </row>
    <row r="17" spans="1:20">
      <c r="A17" s="5" t="s">
        <v>41</v>
      </c>
      <c r="B17" s="5" t="s">
        <v>42</v>
      </c>
      <c r="C17" s="5" t="s">
        <v>18</v>
      </c>
      <c r="D17" s="5">
        <v>1</v>
      </c>
      <c r="E17" s="6" t="s">
        <v>15</v>
      </c>
      <c r="F17" s="10">
        <v>1000</v>
      </c>
      <c r="G17" s="7">
        <v>25.827790354553127</v>
      </c>
      <c r="H17" s="7">
        <v>30.52101381182916</v>
      </c>
      <c r="I17" s="7">
        <v>33.69551911044266</v>
      </c>
      <c r="J17" s="7">
        <v>37.743420209339611</v>
      </c>
      <c r="K17" s="7">
        <v>40.848280702392103</v>
      </c>
      <c r="L17" s="7">
        <v>44.169101747244234</v>
      </c>
      <c r="M17" s="7">
        <v>19.071688229287272</v>
      </c>
      <c r="N17" s="7">
        <v>29.7</v>
      </c>
      <c r="O17" s="7">
        <v>38</v>
      </c>
      <c r="P17" s="7">
        <f t="shared" si="0"/>
        <v>8.3000000000000007</v>
      </c>
      <c r="Q17" s="17">
        <v>231.87681416508815</v>
      </c>
      <c r="R17" s="14">
        <v>247</v>
      </c>
      <c r="S17" s="7">
        <v>15.123185834911851</v>
      </c>
      <c r="T17" s="8" t="s">
        <v>909</v>
      </c>
    </row>
    <row r="18" spans="1:20">
      <c r="A18" s="5" t="s">
        <v>43</v>
      </c>
      <c r="B18" s="5" t="s">
        <v>44</v>
      </c>
      <c r="C18" s="5" t="s">
        <v>18</v>
      </c>
      <c r="D18" s="5">
        <v>1</v>
      </c>
      <c r="E18" s="6" t="s">
        <v>15</v>
      </c>
      <c r="F18" s="10">
        <v>1000</v>
      </c>
      <c r="G18" s="7">
        <v>25.673132927280356</v>
      </c>
      <c r="H18" s="7">
        <v>30.338253250081678</v>
      </c>
      <c r="I18" s="7">
        <v>33.493749534931027</v>
      </c>
      <c r="J18" s="7">
        <v>37.51741170509208</v>
      </c>
      <c r="K18" s="7">
        <v>40.603680219144245</v>
      </c>
      <c r="L18" s="7">
        <v>43.904616108039178</v>
      </c>
      <c r="M18" s="7">
        <v>18.957486503363395</v>
      </c>
      <c r="N18" s="7">
        <v>25</v>
      </c>
      <c r="O18" s="7">
        <v>25.6</v>
      </c>
      <c r="P18" s="7">
        <f t="shared" si="0"/>
        <v>0.60000000000000142</v>
      </c>
      <c r="Q18" s="17">
        <v>230.48833024793197</v>
      </c>
      <c r="R18" s="14">
        <v>190</v>
      </c>
      <c r="S18" s="7">
        <v>-40.48833024793197</v>
      </c>
      <c r="T18" s="8" t="s">
        <v>910</v>
      </c>
    </row>
    <row r="19" spans="1:20">
      <c r="A19" s="5" t="s">
        <v>45</v>
      </c>
      <c r="B19" s="5" t="s">
        <v>46</v>
      </c>
      <c r="C19" s="5" t="s">
        <v>18</v>
      </c>
      <c r="D19" s="5">
        <v>1</v>
      </c>
      <c r="E19" s="6" t="s">
        <v>15</v>
      </c>
      <c r="F19" s="10">
        <v>1000</v>
      </c>
      <c r="G19" s="7">
        <v>24.899845790916491</v>
      </c>
      <c r="H19" s="7">
        <v>29.42445044134428</v>
      </c>
      <c r="I19" s="7">
        <v>32.484901657372859</v>
      </c>
      <c r="J19" s="7">
        <v>36.387369183854361</v>
      </c>
      <c r="K19" s="7">
        <v>39.380677802904962</v>
      </c>
      <c r="L19" s="7">
        <v>42.582187912013907</v>
      </c>
      <c r="M19" s="7">
        <v>18.38647787374402</v>
      </c>
      <c r="N19" s="7">
        <v>36.1</v>
      </c>
      <c r="O19" s="7">
        <v>41.2</v>
      </c>
      <c r="P19" s="7">
        <f t="shared" si="0"/>
        <v>5.1000000000000014</v>
      </c>
      <c r="Q19" s="17">
        <v>223.54591066215085</v>
      </c>
      <c r="R19" s="14">
        <v>288</v>
      </c>
      <c r="S19" s="7">
        <v>64.454089337849155</v>
      </c>
      <c r="T19" s="8" t="s">
        <v>909</v>
      </c>
    </row>
    <row r="20" spans="1:20">
      <c r="A20" s="5" t="s">
        <v>47</v>
      </c>
      <c r="B20" s="5" t="s">
        <v>48</v>
      </c>
      <c r="C20" s="5" t="s">
        <v>18</v>
      </c>
      <c r="D20" s="5">
        <v>0</v>
      </c>
      <c r="E20" s="6" t="s">
        <v>15</v>
      </c>
      <c r="F20" s="10">
        <v>1000</v>
      </c>
      <c r="G20" s="7">
        <v>24.435873509098172</v>
      </c>
      <c r="H20" s="7">
        <v>28.876168756101837</v>
      </c>
      <c r="I20" s="7">
        <v>31.879592930837962</v>
      </c>
      <c r="J20" s="7">
        <v>35.709343671111732</v>
      </c>
      <c r="K20" s="7">
        <v>38.646876353161389</v>
      </c>
      <c r="L20" s="7">
        <v>41.788730994398733</v>
      </c>
      <c r="M20" s="7">
        <v>18.043872695972393</v>
      </c>
      <c r="N20" s="7">
        <v>31.5</v>
      </c>
      <c r="O20" s="7">
        <v>39.4</v>
      </c>
      <c r="P20" s="7">
        <f t="shared" si="0"/>
        <v>7.8999999999999986</v>
      </c>
      <c r="Q20" s="17">
        <v>219.38045891068222</v>
      </c>
      <c r="R20" s="14">
        <v>275</v>
      </c>
      <c r="S20" s="7">
        <v>55.619541089317778</v>
      </c>
      <c r="T20" s="8" t="s">
        <v>909</v>
      </c>
    </row>
    <row r="21" spans="1:20">
      <c r="A21" s="5" t="s">
        <v>49</v>
      </c>
      <c r="B21" s="5" t="s">
        <v>50</v>
      </c>
      <c r="C21" s="5" t="s">
        <v>18</v>
      </c>
      <c r="D21" s="5">
        <v>1</v>
      </c>
      <c r="E21" s="6" t="s">
        <v>15</v>
      </c>
      <c r="F21" s="10">
        <v>1000</v>
      </c>
      <c r="G21" s="7">
        <v>23.507928945461529</v>
      </c>
      <c r="H21" s="7">
        <v>27.779605385616961</v>
      </c>
      <c r="I21" s="7">
        <v>30.668975477768164</v>
      </c>
      <c r="J21" s="7">
        <v>34.353292645626482</v>
      </c>
      <c r="K21" s="7">
        <v>37.179273453674256</v>
      </c>
      <c r="L21" s="7">
        <v>40.201817159168399</v>
      </c>
      <c r="M21" s="7">
        <v>17.358662340429138</v>
      </c>
      <c r="N21" s="7">
        <v>27.6</v>
      </c>
      <c r="O21" s="7">
        <v>31.8</v>
      </c>
      <c r="P21" s="7">
        <f t="shared" si="0"/>
        <v>4.1999999999999993</v>
      </c>
      <c r="Q21" s="17">
        <v>211.04955540774492</v>
      </c>
      <c r="R21" s="14">
        <v>231</v>
      </c>
      <c r="S21" s="7">
        <v>19.950444592255081</v>
      </c>
      <c r="T21" s="8" t="s">
        <v>909</v>
      </c>
    </row>
    <row r="22" spans="1:20">
      <c r="A22" s="5" t="s">
        <v>51</v>
      </c>
      <c r="B22" s="5" t="s">
        <v>52</v>
      </c>
      <c r="C22" s="5" t="s">
        <v>18</v>
      </c>
      <c r="D22" s="5">
        <v>1</v>
      </c>
      <c r="E22" s="6" t="s">
        <v>15</v>
      </c>
      <c r="F22" s="10">
        <v>1000</v>
      </c>
      <c r="G22" s="7">
        <v>23.353271518188755</v>
      </c>
      <c r="H22" s="7">
        <v>27.596844823869475</v>
      </c>
      <c r="I22" s="7">
        <v>30.467205902256527</v>
      </c>
      <c r="J22" s="7">
        <v>34.127284141378929</v>
      </c>
      <c r="K22" s="7">
        <v>36.934672970426391</v>
      </c>
      <c r="L22" s="7">
        <v>39.937331519963337</v>
      </c>
      <c r="M22" s="7">
        <v>17.244460614505257</v>
      </c>
      <c r="N22" s="7">
        <v>32</v>
      </c>
      <c r="O22" s="7">
        <v>36.4</v>
      </c>
      <c r="P22" s="7">
        <f t="shared" si="0"/>
        <v>4.3999999999999986</v>
      </c>
      <c r="Q22" s="17">
        <v>209.66107149058871</v>
      </c>
      <c r="R22" s="14">
        <v>265</v>
      </c>
      <c r="S22" s="7">
        <v>55.338928509411289</v>
      </c>
      <c r="T22" s="8" t="s">
        <v>909</v>
      </c>
    </row>
    <row r="23" spans="1:20">
      <c r="A23" s="5" t="s">
        <v>53</v>
      </c>
      <c r="B23" s="5" t="s">
        <v>54</v>
      </c>
      <c r="C23" s="5" t="s">
        <v>18</v>
      </c>
      <c r="D23" s="5">
        <v>0</v>
      </c>
      <c r="E23" s="6" t="s">
        <v>15</v>
      </c>
      <c r="F23" s="10">
        <v>1000</v>
      </c>
      <c r="G23" s="7">
        <v>23.043956663643211</v>
      </c>
      <c r="H23" s="7">
        <v>27.231323700374524</v>
      </c>
      <c r="I23" s="7">
        <v>30.063666751233271</v>
      </c>
      <c r="J23" s="7">
        <v>33.675267132883853</v>
      </c>
      <c r="K23" s="7">
        <v>36.445472003930682</v>
      </c>
      <c r="L23" s="7">
        <v>39.40836024155324</v>
      </c>
      <c r="M23" s="7">
        <v>17.016057162657503</v>
      </c>
      <c r="N23" s="7">
        <v>24</v>
      </c>
      <c r="O23" s="7">
        <v>28.8</v>
      </c>
      <c r="P23" s="7">
        <f t="shared" si="0"/>
        <v>4.8000000000000007</v>
      </c>
      <c r="Q23" s="17">
        <v>206.8841036562763</v>
      </c>
      <c r="R23" s="14">
        <v>198</v>
      </c>
      <c r="S23" s="7">
        <v>-8.8841036562762952</v>
      </c>
      <c r="T23" s="8" t="s">
        <v>910</v>
      </c>
    </row>
    <row r="24" spans="1:20">
      <c r="A24" s="5" t="s">
        <v>55</v>
      </c>
      <c r="B24" s="5" t="s">
        <v>56</v>
      </c>
      <c r="C24" s="5" t="s">
        <v>18</v>
      </c>
      <c r="D24" s="5">
        <v>0</v>
      </c>
      <c r="E24" s="6" t="s">
        <v>15</v>
      </c>
      <c r="F24" s="10">
        <v>1000</v>
      </c>
      <c r="G24" s="7">
        <v>22.425326954552119</v>
      </c>
      <c r="H24" s="7">
        <v>26.500281453384602</v>
      </c>
      <c r="I24" s="7">
        <v>29.256588449186737</v>
      </c>
      <c r="J24" s="7">
        <v>32.771233115893686</v>
      </c>
      <c r="K24" s="7">
        <v>35.467070070939251</v>
      </c>
      <c r="L24" s="7">
        <v>38.350417684733017</v>
      </c>
      <c r="M24" s="7">
        <v>16.559250258962003</v>
      </c>
      <c r="N24" s="7">
        <v>32.799999999999997</v>
      </c>
      <c r="O24" s="7">
        <v>44.2</v>
      </c>
      <c r="P24" s="7">
        <f t="shared" si="0"/>
        <v>11.400000000000006</v>
      </c>
      <c r="Q24" s="17">
        <v>201.33016798765144</v>
      </c>
      <c r="R24" s="14">
        <v>307</v>
      </c>
      <c r="S24" s="7">
        <v>105.66983201234856</v>
      </c>
      <c r="T24" s="8" t="s">
        <v>909</v>
      </c>
    </row>
    <row r="25" spans="1:20">
      <c r="A25" s="5" t="s">
        <v>57</v>
      </c>
      <c r="B25" s="5" t="s">
        <v>58</v>
      </c>
      <c r="C25" s="5" t="s">
        <v>18</v>
      </c>
      <c r="D25" s="5">
        <v>0</v>
      </c>
      <c r="E25" s="6" t="s">
        <v>15</v>
      </c>
      <c r="F25" s="10">
        <v>1000</v>
      </c>
      <c r="G25" s="7">
        <v>22.425326954552119</v>
      </c>
      <c r="H25" s="7">
        <v>26.500281453384602</v>
      </c>
      <c r="I25" s="7">
        <v>29.256588449186737</v>
      </c>
      <c r="J25" s="7">
        <v>32.771233115893686</v>
      </c>
      <c r="K25" s="7">
        <v>35.467070070939251</v>
      </c>
      <c r="L25" s="7">
        <v>38.350417684733017</v>
      </c>
      <c r="M25" s="7">
        <v>16.559250258962003</v>
      </c>
      <c r="N25" s="7">
        <v>25.7</v>
      </c>
      <c r="O25" s="7">
        <v>34.4</v>
      </c>
      <c r="P25" s="7">
        <f t="shared" si="0"/>
        <v>8.6999999999999993</v>
      </c>
      <c r="Q25" s="17">
        <v>201.33016798765144</v>
      </c>
      <c r="R25" s="14">
        <v>249</v>
      </c>
      <c r="S25" s="7">
        <v>47.669832012348564</v>
      </c>
      <c r="T25" s="8" t="s">
        <v>909</v>
      </c>
    </row>
    <row r="26" spans="1:20">
      <c r="A26" s="5" t="s">
        <v>59</v>
      </c>
      <c r="B26" s="5" t="s">
        <v>60</v>
      </c>
      <c r="C26" s="5" t="s">
        <v>18</v>
      </c>
      <c r="D26" s="5">
        <v>4</v>
      </c>
      <c r="E26" s="6" t="s">
        <v>15</v>
      </c>
      <c r="F26" s="10">
        <v>1000</v>
      </c>
      <c r="G26" s="7">
        <v>22.270669527279345</v>
      </c>
      <c r="H26" s="7">
        <v>26.317520891637116</v>
      </c>
      <c r="I26" s="7">
        <v>29.054818873675103</v>
      </c>
      <c r="J26" s="7">
        <v>32.545224611646134</v>
      </c>
      <c r="K26" s="7">
        <v>35.222469587691393</v>
      </c>
      <c r="L26" s="7">
        <v>38.085932045527954</v>
      </c>
      <c r="M26" s="7">
        <v>16.445048533038126</v>
      </c>
      <c r="N26" s="7">
        <v>33.1</v>
      </c>
      <c r="O26" s="7">
        <v>28.6</v>
      </c>
      <c r="P26" s="7">
        <f t="shared" si="0"/>
        <v>-4.5</v>
      </c>
      <c r="Q26" s="17">
        <v>199.94168407049517</v>
      </c>
      <c r="R26" s="14">
        <v>223</v>
      </c>
      <c r="S26" s="7">
        <v>23.058315929504829</v>
      </c>
      <c r="T26" s="8" t="s">
        <v>909</v>
      </c>
    </row>
    <row r="27" spans="1:20">
      <c r="A27" s="5" t="s">
        <v>61</v>
      </c>
      <c r="B27" s="5" t="s">
        <v>62</v>
      </c>
      <c r="C27" s="5" t="s">
        <v>18</v>
      </c>
      <c r="D27" s="5">
        <v>4</v>
      </c>
      <c r="E27" s="6" t="s">
        <v>15</v>
      </c>
      <c r="F27" s="10">
        <v>1000</v>
      </c>
      <c r="G27" s="7">
        <v>22.116012100006575</v>
      </c>
      <c r="H27" s="7">
        <v>26.134760329889637</v>
      </c>
      <c r="I27" s="7">
        <v>28.853049298163469</v>
      </c>
      <c r="J27" s="7">
        <v>32.319216107398596</v>
      </c>
      <c r="K27" s="7">
        <v>34.977869104443535</v>
      </c>
      <c r="L27" s="7">
        <v>37.821446406322906</v>
      </c>
      <c r="M27" s="7">
        <v>16.330846807114249</v>
      </c>
      <c r="N27" s="7">
        <v>27.1</v>
      </c>
      <c r="O27" s="7">
        <v>15.6</v>
      </c>
      <c r="P27" s="7">
        <f t="shared" si="0"/>
        <v>-11.500000000000002</v>
      </c>
      <c r="Q27" s="17">
        <v>198.55320015333896</v>
      </c>
      <c r="R27" s="14">
        <v>116</v>
      </c>
      <c r="S27" s="7">
        <v>-82.553200153338963</v>
      </c>
      <c r="T27" s="8" t="s">
        <v>910</v>
      </c>
    </row>
    <row r="28" spans="1:20">
      <c r="A28" s="5" t="s">
        <v>63</v>
      </c>
      <c r="B28" s="5" t="s">
        <v>64</v>
      </c>
      <c r="C28" s="5" t="s">
        <v>18</v>
      </c>
      <c r="D28" s="5">
        <v>2</v>
      </c>
      <c r="E28" s="6" t="s">
        <v>15</v>
      </c>
      <c r="F28" s="10">
        <v>1000</v>
      </c>
      <c r="G28" s="7">
        <v>21.65203981818825</v>
      </c>
      <c r="H28" s="7">
        <v>25.586478644647197</v>
      </c>
      <c r="I28" s="7">
        <v>28.247740571628572</v>
      </c>
      <c r="J28" s="7">
        <v>31.641190594655964</v>
      </c>
      <c r="K28" s="7">
        <v>34.244067654699968</v>
      </c>
      <c r="L28" s="7">
        <v>37.027989488707739</v>
      </c>
      <c r="M28" s="7">
        <v>15.988241629342623</v>
      </c>
      <c r="N28" s="7">
        <v>30</v>
      </c>
      <c r="O28" s="7">
        <v>25.6</v>
      </c>
      <c r="P28" s="7">
        <f t="shared" si="0"/>
        <v>-4.3999999999999986</v>
      </c>
      <c r="Q28" s="17">
        <v>194.38774840187028</v>
      </c>
      <c r="R28" s="14">
        <v>185</v>
      </c>
      <c r="S28" s="7">
        <v>-9.387748401870283</v>
      </c>
      <c r="T28" s="8" t="s">
        <v>910</v>
      </c>
    </row>
    <row r="29" spans="1:20">
      <c r="A29" s="5" t="s">
        <v>65</v>
      </c>
      <c r="B29" s="5" t="s">
        <v>66</v>
      </c>
      <c r="C29" s="5" t="s">
        <v>67</v>
      </c>
      <c r="D29" s="5">
        <v>1</v>
      </c>
      <c r="E29" s="6" t="s">
        <v>15</v>
      </c>
      <c r="F29" s="10">
        <v>1000</v>
      </c>
      <c r="G29" s="7">
        <v>21.188067536369932</v>
      </c>
      <c r="H29" s="7">
        <v>25.038196959404758</v>
      </c>
      <c r="I29" s="7">
        <v>27.642431845093672</v>
      </c>
      <c r="J29" s="7">
        <v>30.963165081913335</v>
      </c>
      <c r="K29" s="7">
        <v>33.510266204956395</v>
      </c>
      <c r="L29" s="7">
        <v>36.234532571092572</v>
      </c>
      <c r="M29" s="7">
        <v>15.645636451570994</v>
      </c>
      <c r="N29" s="7">
        <v>20.2</v>
      </c>
      <c r="O29" s="7">
        <v>26.4</v>
      </c>
      <c r="P29" s="7">
        <f t="shared" si="0"/>
        <v>6.1999999999999993</v>
      </c>
      <c r="Q29" s="17">
        <v>190.22229665040166</v>
      </c>
      <c r="R29" s="14">
        <v>214</v>
      </c>
      <c r="S29" s="7">
        <v>23.77770334959834</v>
      </c>
      <c r="T29" s="8" t="s">
        <v>909</v>
      </c>
    </row>
    <row r="30" spans="1:20">
      <c r="A30" s="5" t="s">
        <v>68</v>
      </c>
      <c r="B30" s="5" t="s">
        <v>69</v>
      </c>
      <c r="C30" s="5" t="s">
        <v>18</v>
      </c>
      <c r="D30" s="5">
        <v>1</v>
      </c>
      <c r="E30" s="6" t="s">
        <v>15</v>
      </c>
      <c r="F30" s="10">
        <v>1000</v>
      </c>
      <c r="G30" s="7">
        <v>20.878752681824384</v>
      </c>
      <c r="H30" s="7">
        <v>24.6726758359098</v>
      </c>
      <c r="I30" s="7">
        <v>27.238892694070408</v>
      </c>
      <c r="J30" s="7">
        <v>30.511148073418251</v>
      </c>
      <c r="K30" s="7">
        <v>33.021065238460679</v>
      </c>
      <c r="L30" s="7">
        <v>35.705561292682461</v>
      </c>
      <c r="M30" s="7">
        <v>15.417232999723245</v>
      </c>
      <c r="N30" s="7">
        <v>31.4</v>
      </c>
      <c r="O30" s="7">
        <v>40</v>
      </c>
      <c r="P30" s="7">
        <f t="shared" si="0"/>
        <v>8.6000000000000014</v>
      </c>
      <c r="Q30" s="17">
        <v>187.44532881608922</v>
      </c>
      <c r="R30" s="14">
        <v>267</v>
      </c>
      <c r="S30" s="7">
        <v>79.554671183910784</v>
      </c>
      <c r="T30" s="8" t="s">
        <v>909</v>
      </c>
    </row>
    <row r="31" spans="1:20">
      <c r="A31" s="5" t="s">
        <v>70</v>
      </c>
      <c r="B31" s="5" t="s">
        <v>71</v>
      </c>
      <c r="C31" s="5" t="s">
        <v>18</v>
      </c>
      <c r="D31" s="5">
        <v>1</v>
      </c>
      <c r="E31" s="6" t="s">
        <v>15</v>
      </c>
      <c r="F31" s="10">
        <v>1000</v>
      </c>
      <c r="G31" s="7">
        <v>20.569437827278836</v>
      </c>
      <c r="H31" s="7">
        <v>24.307154712414835</v>
      </c>
      <c r="I31" s="7">
        <v>26.835353543047141</v>
      </c>
      <c r="J31" s="7">
        <v>30.059131064923161</v>
      </c>
      <c r="K31" s="7">
        <v>32.531864271964963</v>
      </c>
      <c r="L31" s="7">
        <v>35.17659001427235</v>
      </c>
      <c r="M31" s="7">
        <v>15.188829547875493</v>
      </c>
      <c r="N31" s="7">
        <v>25.8</v>
      </c>
      <c r="O31" s="7">
        <v>31.6</v>
      </c>
      <c r="P31" s="7">
        <f t="shared" si="0"/>
        <v>5.8000000000000007</v>
      </c>
      <c r="Q31" s="17">
        <v>184.66836098177677</v>
      </c>
      <c r="R31" s="14">
        <v>263</v>
      </c>
      <c r="S31" s="7">
        <v>78.331639018223228</v>
      </c>
      <c r="T31" s="8" t="s">
        <v>909</v>
      </c>
    </row>
    <row r="32" spans="1:20">
      <c r="A32" s="5" t="s">
        <v>72</v>
      </c>
      <c r="B32" s="5" t="s">
        <v>73</v>
      </c>
      <c r="C32" s="5" t="s">
        <v>18</v>
      </c>
      <c r="D32" s="5">
        <v>1</v>
      </c>
      <c r="E32" s="6" t="s">
        <v>15</v>
      </c>
      <c r="F32" s="10">
        <v>1000</v>
      </c>
      <c r="G32" s="7">
        <v>20.569437827278836</v>
      </c>
      <c r="H32" s="7">
        <v>24.307154712414835</v>
      </c>
      <c r="I32" s="7">
        <v>26.835353543047141</v>
      </c>
      <c r="J32" s="7">
        <v>30.059131064923161</v>
      </c>
      <c r="K32" s="7">
        <v>32.531864271964963</v>
      </c>
      <c r="L32" s="7">
        <v>35.17659001427235</v>
      </c>
      <c r="M32" s="7">
        <v>15.188829547875493</v>
      </c>
      <c r="N32" s="7">
        <v>25.4</v>
      </c>
      <c r="O32" s="7">
        <v>30.8</v>
      </c>
      <c r="P32" s="7">
        <f t="shared" si="0"/>
        <v>5.4000000000000021</v>
      </c>
      <c r="Q32" s="17">
        <v>184.66836098177677</v>
      </c>
      <c r="R32" s="14">
        <v>207</v>
      </c>
      <c r="S32" s="7">
        <v>22.331639018223228</v>
      </c>
      <c r="T32" s="8" t="s">
        <v>909</v>
      </c>
    </row>
    <row r="33" spans="1:20">
      <c r="A33" s="5" t="s">
        <v>74</v>
      </c>
      <c r="B33" s="5" t="s">
        <v>75</v>
      </c>
      <c r="C33" s="5" t="s">
        <v>18</v>
      </c>
      <c r="D33" s="5">
        <v>2</v>
      </c>
      <c r="E33" s="6" t="s">
        <v>15</v>
      </c>
      <c r="F33" s="10">
        <v>1000</v>
      </c>
      <c r="G33" s="7">
        <v>20.414780400006062</v>
      </c>
      <c r="H33" s="7">
        <v>24.124394150667356</v>
      </c>
      <c r="I33" s="7">
        <v>26.633583967535507</v>
      </c>
      <c r="J33" s="7">
        <v>29.833122560675623</v>
      </c>
      <c r="K33" s="7">
        <v>32.287263788717112</v>
      </c>
      <c r="L33" s="7">
        <v>34.912104375067294</v>
      </c>
      <c r="M33" s="7">
        <v>15.074627821951616</v>
      </c>
      <c r="N33" s="7">
        <v>25.5</v>
      </c>
      <c r="O33" s="7">
        <v>29</v>
      </c>
      <c r="P33" s="7">
        <f t="shared" si="0"/>
        <v>3.5</v>
      </c>
      <c r="Q33" s="17">
        <v>183.27987706462056</v>
      </c>
      <c r="R33" s="14">
        <v>195</v>
      </c>
      <c r="S33" s="7">
        <v>11.720122935379436</v>
      </c>
      <c r="T33" s="8" t="s">
        <v>909</v>
      </c>
    </row>
    <row r="34" spans="1:20">
      <c r="A34" s="5" t="s">
        <v>76</v>
      </c>
      <c r="B34" s="5" t="s">
        <v>77</v>
      </c>
      <c r="C34" s="5" t="s">
        <v>18</v>
      </c>
      <c r="D34" s="5">
        <v>1</v>
      </c>
      <c r="E34" s="6" t="s">
        <v>15</v>
      </c>
      <c r="F34" s="10">
        <v>1000</v>
      </c>
      <c r="G34" s="7">
        <v>20.414780400006062</v>
      </c>
      <c r="H34" s="7">
        <v>24.124394150667356</v>
      </c>
      <c r="I34" s="7">
        <v>26.633583967535507</v>
      </c>
      <c r="J34" s="7">
        <v>29.833122560675623</v>
      </c>
      <c r="K34" s="7">
        <v>32.287263788717112</v>
      </c>
      <c r="L34" s="7">
        <v>34.912104375067294</v>
      </c>
      <c r="M34" s="7">
        <v>15.074627821951616</v>
      </c>
      <c r="N34" s="7">
        <v>29.1</v>
      </c>
      <c r="O34" s="7">
        <v>36.6</v>
      </c>
      <c r="P34" s="7">
        <f t="shared" si="0"/>
        <v>7.5</v>
      </c>
      <c r="Q34" s="17">
        <v>183.27987706462056</v>
      </c>
      <c r="R34" s="14">
        <v>237</v>
      </c>
      <c r="S34" s="7">
        <v>53.720122935379436</v>
      </c>
      <c r="T34" s="8" t="s">
        <v>909</v>
      </c>
    </row>
    <row r="35" spans="1:20">
      <c r="A35" s="5" t="s">
        <v>78</v>
      </c>
      <c r="B35" s="5" t="s">
        <v>79</v>
      </c>
      <c r="C35" s="5" t="s">
        <v>18</v>
      </c>
      <c r="D35" s="5">
        <v>0</v>
      </c>
      <c r="E35" s="6" t="s">
        <v>15</v>
      </c>
      <c r="F35" s="10">
        <v>1000</v>
      </c>
      <c r="G35" s="7">
        <v>20.260122972733296</v>
      </c>
      <c r="H35" s="7">
        <v>23.941633588919885</v>
      </c>
      <c r="I35" s="7">
        <v>26.431814392023881</v>
      </c>
      <c r="J35" s="7">
        <v>29.607114056428088</v>
      </c>
      <c r="K35" s="7">
        <v>32.042663305469262</v>
      </c>
      <c r="L35" s="7">
        <v>34.647618735862245</v>
      </c>
      <c r="M35" s="7">
        <v>14.960426096027746</v>
      </c>
      <c r="N35" s="7">
        <v>15.1</v>
      </c>
      <c r="O35" s="7">
        <v>22.6</v>
      </c>
      <c r="P35" s="7">
        <f t="shared" si="0"/>
        <v>7.5000000000000018</v>
      </c>
      <c r="Q35" s="17">
        <v>181.89139314746438</v>
      </c>
      <c r="R35" s="14">
        <v>159</v>
      </c>
      <c r="S35" s="7">
        <v>-22.891393147464385</v>
      </c>
      <c r="T35" s="8" t="s">
        <v>910</v>
      </c>
    </row>
    <row r="36" spans="1:20">
      <c r="A36" s="5" t="s">
        <v>80</v>
      </c>
      <c r="B36" s="5" t="s">
        <v>81</v>
      </c>
      <c r="C36" s="5" t="s">
        <v>18</v>
      </c>
      <c r="D36" s="5">
        <v>1</v>
      </c>
      <c r="E36" s="6" t="s">
        <v>15</v>
      </c>
      <c r="F36" s="10">
        <v>1000</v>
      </c>
      <c r="G36" s="7">
        <v>19.796150690914974</v>
      </c>
      <c r="H36" s="7">
        <v>23.393351903677441</v>
      </c>
      <c r="I36" s="7">
        <v>25.82650566548898</v>
      </c>
      <c r="J36" s="7">
        <v>28.929088543685456</v>
      </c>
      <c r="K36" s="7">
        <v>31.308861855725684</v>
      </c>
      <c r="L36" s="7">
        <v>33.854161818247078</v>
      </c>
      <c r="M36" s="7">
        <v>14.617820918256115</v>
      </c>
      <c r="N36" s="7">
        <v>24.3</v>
      </c>
      <c r="O36" s="7">
        <v>25.4</v>
      </c>
      <c r="P36" s="7">
        <f t="shared" si="0"/>
        <v>1.0999999999999979</v>
      </c>
      <c r="Q36" s="17">
        <v>177.7259413959957</v>
      </c>
      <c r="R36" s="14">
        <v>174</v>
      </c>
      <c r="S36" s="7">
        <v>-3.7259413959957044</v>
      </c>
      <c r="T36" s="8" t="s">
        <v>910</v>
      </c>
    </row>
    <row r="37" spans="1:20">
      <c r="A37" s="5" t="s">
        <v>82</v>
      </c>
      <c r="B37" s="5" t="s">
        <v>83</v>
      </c>
      <c r="C37" s="5" t="s">
        <v>18</v>
      </c>
      <c r="D37" s="5">
        <v>1</v>
      </c>
      <c r="E37" s="6" t="s">
        <v>15</v>
      </c>
      <c r="F37" s="10">
        <v>1000</v>
      </c>
      <c r="G37" s="7">
        <v>19.6414932636422</v>
      </c>
      <c r="H37" s="7">
        <v>23.210591341929963</v>
      </c>
      <c r="I37" s="7">
        <v>25.624736089977354</v>
      </c>
      <c r="J37" s="7">
        <v>28.703080039437914</v>
      </c>
      <c r="K37" s="7">
        <v>31.06426137247783</v>
      </c>
      <c r="L37" s="7">
        <v>33.589676179042023</v>
      </c>
      <c r="M37" s="7">
        <v>14.503619192332238</v>
      </c>
      <c r="N37" s="7">
        <v>25.2</v>
      </c>
      <c r="O37" s="7">
        <v>31.4</v>
      </c>
      <c r="P37" s="7">
        <f t="shared" si="0"/>
        <v>6.1999999999999993</v>
      </c>
      <c r="Q37" s="17">
        <v>176.3374574788395</v>
      </c>
      <c r="R37" s="14">
        <v>222</v>
      </c>
      <c r="S37" s="7">
        <v>45.662542521160503</v>
      </c>
      <c r="T37" s="8" t="s">
        <v>909</v>
      </c>
    </row>
    <row r="38" spans="1:20">
      <c r="A38" s="5" t="s">
        <v>84</v>
      </c>
      <c r="B38" s="5" t="s">
        <v>85</v>
      </c>
      <c r="C38" s="5" t="s">
        <v>18</v>
      </c>
      <c r="D38" s="5">
        <v>1</v>
      </c>
      <c r="E38" s="6" t="s">
        <v>15</v>
      </c>
      <c r="F38" s="10">
        <v>1000</v>
      </c>
      <c r="G38" s="7">
        <v>19.486835836369426</v>
      </c>
      <c r="H38" s="7">
        <v>23.027830780182477</v>
      </c>
      <c r="I38" s="7">
        <v>25.422966514465713</v>
      </c>
      <c r="J38" s="7">
        <v>28.477071535190369</v>
      </c>
      <c r="K38" s="7">
        <v>30.819660889229969</v>
      </c>
      <c r="L38" s="7">
        <v>33.325190539836967</v>
      </c>
      <c r="M38" s="7">
        <v>14.389417466408359</v>
      </c>
      <c r="N38" s="7">
        <v>17.8</v>
      </c>
      <c r="O38" s="7">
        <v>22</v>
      </c>
      <c r="P38" s="7">
        <f t="shared" si="0"/>
        <v>4.1999999999999993</v>
      </c>
      <c r="Q38" s="17">
        <v>174.94897356168329</v>
      </c>
      <c r="R38" s="14">
        <v>124</v>
      </c>
      <c r="S38" s="7">
        <v>-50.948973561683289</v>
      </c>
      <c r="T38" s="8" t="s">
        <v>910</v>
      </c>
    </row>
    <row r="39" spans="1:20">
      <c r="A39" s="5" t="s">
        <v>86</v>
      </c>
      <c r="B39" s="5" t="s">
        <v>87</v>
      </c>
      <c r="C39" s="5" t="s">
        <v>18</v>
      </c>
      <c r="D39" s="5">
        <v>0</v>
      </c>
      <c r="E39" s="6" t="s">
        <v>15</v>
      </c>
      <c r="F39" s="10">
        <v>1000</v>
      </c>
      <c r="G39" s="7">
        <v>19.486835836369426</v>
      </c>
      <c r="H39" s="7">
        <v>23.027830780182477</v>
      </c>
      <c r="I39" s="7">
        <v>25.422966514465713</v>
      </c>
      <c r="J39" s="7">
        <v>28.477071535190369</v>
      </c>
      <c r="K39" s="7">
        <v>30.819660889229969</v>
      </c>
      <c r="L39" s="7">
        <v>33.325190539836967</v>
      </c>
      <c r="M39" s="7">
        <v>14.389417466408359</v>
      </c>
      <c r="N39" s="7">
        <v>23.6</v>
      </c>
      <c r="O39" s="7">
        <v>22.4</v>
      </c>
      <c r="P39" s="7">
        <f t="shared" si="0"/>
        <v>-1.2000000000000028</v>
      </c>
      <c r="Q39" s="17">
        <v>174.94897356168329</v>
      </c>
      <c r="R39" s="14">
        <v>163</v>
      </c>
      <c r="S39" s="7">
        <v>-11.948973561683289</v>
      </c>
      <c r="T39" s="8" t="s">
        <v>910</v>
      </c>
    </row>
    <row r="40" spans="1:20">
      <c r="A40" s="5" t="s">
        <v>88</v>
      </c>
      <c r="B40" s="5" t="s">
        <v>89</v>
      </c>
      <c r="C40" s="5" t="s">
        <v>18</v>
      </c>
      <c r="D40" s="5">
        <v>1</v>
      </c>
      <c r="E40" s="6" t="s">
        <v>15</v>
      </c>
      <c r="F40" s="10">
        <v>1000</v>
      </c>
      <c r="G40" s="7">
        <v>18.868206127278334</v>
      </c>
      <c r="H40" s="7">
        <v>22.296788533192558</v>
      </c>
      <c r="I40" s="7">
        <v>24.615888212419183</v>
      </c>
      <c r="J40" s="7">
        <v>27.573037518200199</v>
      </c>
      <c r="K40" s="7">
        <v>29.841258956238541</v>
      </c>
      <c r="L40" s="7">
        <v>32.267247983016745</v>
      </c>
      <c r="M40" s="7">
        <v>13.93261056271286</v>
      </c>
      <c r="N40" s="7">
        <v>22.5</v>
      </c>
      <c r="O40" s="7">
        <v>27.2</v>
      </c>
      <c r="P40" s="7">
        <f t="shared" si="0"/>
        <v>4.6999999999999993</v>
      </c>
      <c r="Q40" s="17">
        <v>169.3950378930584</v>
      </c>
      <c r="R40" s="14">
        <v>177</v>
      </c>
      <c r="S40" s="7">
        <v>7.6049621069415991</v>
      </c>
      <c r="T40" s="8" t="s">
        <v>909</v>
      </c>
    </row>
    <row r="41" spans="1:20">
      <c r="A41" s="5" t="s">
        <v>90</v>
      </c>
      <c r="B41" s="5" t="s">
        <v>91</v>
      </c>
      <c r="C41" s="5" t="s">
        <v>18</v>
      </c>
      <c r="D41" s="5">
        <v>1</v>
      </c>
      <c r="E41" s="6" t="s">
        <v>15</v>
      </c>
      <c r="F41" s="10">
        <v>1000</v>
      </c>
      <c r="G41" s="7">
        <v>18.868206127278334</v>
      </c>
      <c r="H41" s="7">
        <v>22.296788533192558</v>
      </c>
      <c r="I41" s="7">
        <v>24.615888212419183</v>
      </c>
      <c r="J41" s="7">
        <v>27.573037518200199</v>
      </c>
      <c r="K41" s="7">
        <v>29.841258956238541</v>
      </c>
      <c r="L41" s="7">
        <v>32.267247983016745</v>
      </c>
      <c r="M41" s="7">
        <v>13.93261056271286</v>
      </c>
      <c r="N41" s="7">
        <v>18.8</v>
      </c>
      <c r="O41" s="7">
        <v>18.399999999999999</v>
      </c>
      <c r="P41" s="7">
        <f t="shared" si="0"/>
        <v>-0.40000000000000213</v>
      </c>
      <c r="Q41" s="17">
        <v>169.3950378930584</v>
      </c>
      <c r="R41" s="14">
        <v>135</v>
      </c>
      <c r="S41" s="7">
        <v>-34.395037893058401</v>
      </c>
      <c r="T41" s="8" t="s">
        <v>910</v>
      </c>
    </row>
    <row r="42" spans="1:20">
      <c r="A42" s="5" t="s">
        <v>92</v>
      </c>
      <c r="B42" s="5" t="s">
        <v>93</v>
      </c>
      <c r="C42" s="5" t="s">
        <v>18</v>
      </c>
      <c r="D42" s="5">
        <v>1</v>
      </c>
      <c r="E42" s="6" t="s">
        <v>15</v>
      </c>
      <c r="F42" s="10">
        <v>1000</v>
      </c>
      <c r="G42" s="7">
        <v>18.868206127278334</v>
      </c>
      <c r="H42" s="7">
        <v>22.296788533192558</v>
      </c>
      <c r="I42" s="7">
        <v>24.615888212419183</v>
      </c>
      <c r="J42" s="7">
        <v>27.573037518200199</v>
      </c>
      <c r="K42" s="7">
        <v>29.841258956238541</v>
      </c>
      <c r="L42" s="7">
        <v>32.267247983016745</v>
      </c>
      <c r="M42" s="7">
        <v>13.93261056271286</v>
      </c>
      <c r="N42" s="7">
        <v>24.6</v>
      </c>
      <c r="O42" s="7">
        <v>26.8</v>
      </c>
      <c r="P42" s="7">
        <f t="shared" si="0"/>
        <v>2.1999999999999993</v>
      </c>
      <c r="Q42" s="17">
        <v>169.3950378930584</v>
      </c>
      <c r="R42" s="14">
        <v>178</v>
      </c>
      <c r="S42" s="7">
        <v>8.6049621069415991</v>
      </c>
      <c r="T42" s="8" t="s">
        <v>909</v>
      </c>
    </row>
    <row r="43" spans="1:20">
      <c r="A43" s="5" t="s">
        <v>94</v>
      </c>
      <c r="B43" s="5" t="s">
        <v>95</v>
      </c>
      <c r="C43" s="5" t="s">
        <v>18</v>
      </c>
      <c r="D43" s="5">
        <v>1</v>
      </c>
      <c r="E43" s="6" t="s">
        <v>15</v>
      </c>
      <c r="F43" s="10">
        <v>1000</v>
      </c>
      <c r="G43" s="7">
        <v>18.868206127278334</v>
      </c>
      <c r="H43" s="7">
        <v>22.296788533192558</v>
      </c>
      <c r="I43" s="7">
        <v>24.615888212419183</v>
      </c>
      <c r="J43" s="7">
        <v>27.573037518200199</v>
      </c>
      <c r="K43" s="7">
        <v>29.841258956238541</v>
      </c>
      <c r="L43" s="7">
        <v>32.267247983016745</v>
      </c>
      <c r="M43" s="7">
        <v>13.93261056271286</v>
      </c>
      <c r="N43" s="7">
        <v>28.2</v>
      </c>
      <c r="O43" s="7">
        <v>33.6</v>
      </c>
      <c r="P43" s="7">
        <f t="shared" si="0"/>
        <v>5.4000000000000021</v>
      </c>
      <c r="Q43" s="17">
        <v>169.3950378930584</v>
      </c>
      <c r="R43" s="14">
        <v>245</v>
      </c>
      <c r="S43" s="7">
        <v>75.604962106941599</v>
      </c>
      <c r="T43" s="8" t="s">
        <v>909</v>
      </c>
    </row>
    <row r="44" spans="1:20">
      <c r="A44" s="5" t="s">
        <v>96</v>
      </c>
      <c r="B44" s="5" t="s">
        <v>97</v>
      </c>
      <c r="C44" s="5" t="s">
        <v>18</v>
      </c>
      <c r="D44" s="5">
        <v>2</v>
      </c>
      <c r="E44" s="6" t="s">
        <v>15</v>
      </c>
      <c r="F44" s="10">
        <v>1000</v>
      </c>
      <c r="G44" s="7">
        <v>18.868206127278334</v>
      </c>
      <c r="H44" s="7">
        <v>22.296788533192558</v>
      </c>
      <c r="I44" s="7">
        <v>24.615888212419183</v>
      </c>
      <c r="J44" s="7">
        <v>27.573037518200199</v>
      </c>
      <c r="K44" s="7">
        <v>29.841258956238541</v>
      </c>
      <c r="L44" s="7">
        <v>32.267247983016745</v>
      </c>
      <c r="M44" s="7">
        <v>13.93261056271286</v>
      </c>
      <c r="N44" s="7">
        <v>22.4</v>
      </c>
      <c r="O44" s="7">
        <v>21.2</v>
      </c>
      <c r="P44" s="7">
        <f t="shared" si="0"/>
        <v>-1.1999999999999993</v>
      </c>
      <c r="Q44" s="17">
        <v>169.3950378930584</v>
      </c>
      <c r="R44" s="14">
        <v>144</v>
      </c>
      <c r="S44" s="7">
        <v>-25.395037893058401</v>
      </c>
      <c r="T44" s="8" t="s">
        <v>910</v>
      </c>
    </row>
    <row r="45" spans="1:20">
      <c r="A45" s="5" t="s">
        <v>98</v>
      </c>
      <c r="B45" s="5" t="s">
        <v>99</v>
      </c>
      <c r="C45" s="5" t="s">
        <v>18</v>
      </c>
      <c r="D45" s="5">
        <v>1</v>
      </c>
      <c r="E45" s="6" t="s">
        <v>15</v>
      </c>
      <c r="F45" s="10">
        <v>1000</v>
      </c>
      <c r="G45" s="7">
        <v>18.868206127278334</v>
      </c>
      <c r="H45" s="7">
        <v>22.296788533192558</v>
      </c>
      <c r="I45" s="7">
        <v>24.615888212419183</v>
      </c>
      <c r="J45" s="7">
        <v>27.573037518200199</v>
      </c>
      <c r="K45" s="7">
        <v>29.841258956238541</v>
      </c>
      <c r="L45" s="7">
        <v>32.267247983016745</v>
      </c>
      <c r="M45" s="7">
        <v>13.93261056271286</v>
      </c>
      <c r="N45" s="7">
        <v>22.3</v>
      </c>
      <c r="O45" s="7">
        <v>26.6</v>
      </c>
      <c r="P45" s="7">
        <f t="shared" si="0"/>
        <v>4.3000000000000007</v>
      </c>
      <c r="Q45" s="17">
        <v>169.3950378930584</v>
      </c>
      <c r="R45" s="14">
        <v>191</v>
      </c>
      <c r="S45" s="7">
        <v>21.604962106941599</v>
      </c>
      <c r="T45" s="8" t="s">
        <v>909</v>
      </c>
    </row>
    <row r="46" spans="1:20">
      <c r="A46" s="5" t="s">
        <v>100</v>
      </c>
      <c r="B46" s="5" t="s">
        <v>101</v>
      </c>
      <c r="C46" s="5" t="s">
        <v>14</v>
      </c>
      <c r="D46" s="5">
        <v>3</v>
      </c>
      <c r="E46" s="6" t="s">
        <v>15</v>
      </c>
      <c r="F46" s="10">
        <v>1000</v>
      </c>
      <c r="G46" s="7">
        <v>18.868206127278334</v>
      </c>
      <c r="H46" s="7">
        <v>22.296788533192558</v>
      </c>
      <c r="I46" s="7">
        <v>24.615888212419183</v>
      </c>
      <c r="J46" s="7">
        <v>27.573037518200199</v>
      </c>
      <c r="K46" s="7">
        <v>29.841258956238541</v>
      </c>
      <c r="L46" s="7">
        <v>32.267247983016745</v>
      </c>
      <c r="M46" s="7">
        <v>13.93261056271286</v>
      </c>
      <c r="N46" s="7">
        <v>0</v>
      </c>
      <c r="O46" s="7">
        <v>0</v>
      </c>
      <c r="P46" s="7">
        <f t="shared" si="0"/>
        <v>0</v>
      </c>
      <c r="Q46" s="17">
        <v>169.3950378930584</v>
      </c>
      <c r="R46" s="14">
        <v>0</v>
      </c>
      <c r="S46" s="7">
        <v>43.604962106941599</v>
      </c>
      <c r="T46" s="8" t="s">
        <v>909</v>
      </c>
    </row>
    <row r="47" spans="1:20">
      <c r="A47" s="5" t="s">
        <v>102</v>
      </c>
      <c r="B47" s="5" t="s">
        <v>103</v>
      </c>
      <c r="C47" s="5" t="s">
        <v>18</v>
      </c>
      <c r="D47" s="5">
        <v>2</v>
      </c>
      <c r="E47" s="6" t="s">
        <v>15</v>
      </c>
      <c r="F47" s="10">
        <v>1000</v>
      </c>
      <c r="G47" s="7">
        <v>18.713548700005557</v>
      </c>
      <c r="H47" s="7">
        <v>22.114027971445076</v>
      </c>
      <c r="I47" s="7">
        <v>24.414118636907553</v>
      </c>
      <c r="J47" s="7">
        <v>27.347029013952657</v>
      </c>
      <c r="K47" s="7">
        <v>29.596658472990683</v>
      </c>
      <c r="L47" s="7">
        <v>32.002762343811689</v>
      </c>
      <c r="M47" s="7">
        <v>13.818408836788981</v>
      </c>
      <c r="N47" s="7">
        <v>21.8</v>
      </c>
      <c r="O47" s="7">
        <v>23.6</v>
      </c>
      <c r="P47" s="7">
        <f t="shared" si="0"/>
        <v>1.8000000000000007</v>
      </c>
      <c r="Q47" s="17">
        <v>168.00655397590219</v>
      </c>
      <c r="R47" s="14">
        <v>166</v>
      </c>
      <c r="S47" s="7">
        <v>-2.0065539759021931</v>
      </c>
      <c r="T47" s="8" t="s">
        <v>910</v>
      </c>
    </row>
    <row r="48" spans="1:20">
      <c r="A48" s="5" t="s">
        <v>104</v>
      </c>
      <c r="B48" s="5" t="s">
        <v>105</v>
      </c>
      <c r="C48" s="5" t="s">
        <v>18</v>
      </c>
      <c r="D48" s="5">
        <v>1</v>
      </c>
      <c r="E48" s="6" t="s">
        <v>15</v>
      </c>
      <c r="F48" s="10">
        <v>1000</v>
      </c>
      <c r="G48" s="7">
        <v>18.713548700005557</v>
      </c>
      <c r="H48" s="7">
        <v>22.114027971445076</v>
      </c>
      <c r="I48" s="7">
        <v>24.414118636907553</v>
      </c>
      <c r="J48" s="7">
        <v>27.347029013952657</v>
      </c>
      <c r="K48" s="7">
        <v>29.596658472990683</v>
      </c>
      <c r="L48" s="7">
        <v>32.002762343811689</v>
      </c>
      <c r="M48" s="7">
        <v>13.818408836788981</v>
      </c>
      <c r="N48" s="7">
        <v>11</v>
      </c>
      <c r="O48" s="7">
        <v>16.600000000000001</v>
      </c>
      <c r="P48" s="7">
        <f t="shared" si="0"/>
        <v>5.6000000000000014</v>
      </c>
      <c r="Q48" s="17">
        <v>168.00655397590219</v>
      </c>
      <c r="R48" s="14">
        <v>112</v>
      </c>
      <c r="S48" s="7">
        <v>-56.006553975902193</v>
      </c>
      <c r="T48" s="8" t="s">
        <v>910</v>
      </c>
    </row>
    <row r="49" spans="1:20">
      <c r="A49" s="5" t="s">
        <v>106</v>
      </c>
      <c r="B49" s="5" t="s">
        <v>107</v>
      </c>
      <c r="C49" s="5" t="s">
        <v>18</v>
      </c>
      <c r="D49" s="5">
        <v>4</v>
      </c>
      <c r="E49" s="6" t="s">
        <v>15</v>
      </c>
      <c r="F49" s="10">
        <v>1000</v>
      </c>
      <c r="G49" s="7">
        <v>18.713548700005557</v>
      </c>
      <c r="H49" s="7">
        <v>22.114027971445076</v>
      </c>
      <c r="I49" s="7">
        <v>24.414118636907553</v>
      </c>
      <c r="J49" s="7">
        <v>27.347029013952657</v>
      </c>
      <c r="K49" s="7">
        <v>29.596658472990683</v>
      </c>
      <c r="L49" s="7">
        <v>32.002762343811689</v>
      </c>
      <c r="M49" s="7">
        <v>13.818408836788981</v>
      </c>
      <c r="N49" s="7">
        <v>28.4</v>
      </c>
      <c r="O49" s="7">
        <v>19.8</v>
      </c>
      <c r="P49" s="7">
        <f t="shared" si="0"/>
        <v>-8.5999999999999979</v>
      </c>
      <c r="Q49" s="17">
        <v>168.00655397590219</v>
      </c>
      <c r="R49" s="14">
        <v>144</v>
      </c>
      <c r="S49" s="7">
        <v>-24.006553975902193</v>
      </c>
      <c r="T49" s="8" t="s">
        <v>910</v>
      </c>
    </row>
    <row r="50" spans="1:20">
      <c r="A50" s="5" t="s">
        <v>108</v>
      </c>
      <c r="B50" s="5" t="s">
        <v>109</v>
      </c>
      <c r="C50" s="5" t="s">
        <v>18</v>
      </c>
      <c r="D50" s="5">
        <v>1</v>
      </c>
      <c r="E50" s="6" t="s">
        <v>15</v>
      </c>
      <c r="F50" s="10">
        <v>1000</v>
      </c>
      <c r="G50" s="7">
        <v>18.404233845460013</v>
      </c>
      <c r="H50" s="7">
        <v>21.748506847950118</v>
      </c>
      <c r="I50" s="7">
        <v>24.010579485884286</v>
      </c>
      <c r="J50" s="7">
        <v>26.89501200545757</v>
      </c>
      <c r="K50" s="7">
        <v>29.107457506494971</v>
      </c>
      <c r="L50" s="7">
        <v>31.473791065401574</v>
      </c>
      <c r="M50" s="7">
        <v>13.590005384941229</v>
      </c>
      <c r="N50" s="7">
        <v>12.9</v>
      </c>
      <c r="O50" s="7">
        <v>17.399999999999999</v>
      </c>
      <c r="P50" s="7">
        <f t="shared" si="0"/>
        <v>4.4999999999999982</v>
      </c>
      <c r="Q50" s="17">
        <v>165.22958614158978</v>
      </c>
      <c r="R50" s="14">
        <v>121</v>
      </c>
      <c r="S50" s="7">
        <v>-44.229586141589778</v>
      </c>
      <c r="T50" s="8" t="s">
        <v>910</v>
      </c>
    </row>
    <row r="51" spans="1:20">
      <c r="A51" s="5" t="s">
        <v>110</v>
      </c>
      <c r="B51" s="5" t="s">
        <v>111</v>
      </c>
      <c r="C51" s="5" t="s">
        <v>18</v>
      </c>
      <c r="D51" s="5">
        <v>2</v>
      </c>
      <c r="E51" s="6" t="s">
        <v>15</v>
      </c>
      <c r="F51" s="10">
        <v>1000</v>
      </c>
      <c r="G51" s="7">
        <v>18.249576418187242</v>
      </c>
      <c r="H51" s="7">
        <v>21.565746286202639</v>
      </c>
      <c r="I51" s="7">
        <v>23.808809910372656</v>
      </c>
      <c r="J51" s="7">
        <v>26.669003501210028</v>
      </c>
      <c r="K51" s="7">
        <v>28.862857023247116</v>
      </c>
      <c r="L51" s="7">
        <v>31.209305426196522</v>
      </c>
      <c r="M51" s="7">
        <v>13.475803659017355</v>
      </c>
      <c r="N51" s="7">
        <v>23.9</v>
      </c>
      <c r="O51" s="7">
        <v>17</v>
      </c>
      <c r="P51" s="7">
        <f t="shared" si="0"/>
        <v>-6.8999999999999986</v>
      </c>
      <c r="Q51" s="17">
        <v>163.84110222443354</v>
      </c>
      <c r="R51" s="14">
        <v>123</v>
      </c>
      <c r="S51" s="7">
        <v>-40.841102224433541</v>
      </c>
      <c r="T51" s="8" t="s">
        <v>910</v>
      </c>
    </row>
    <row r="52" spans="1:20">
      <c r="A52" s="5" t="s">
        <v>112</v>
      </c>
      <c r="B52" s="5" t="s">
        <v>113</v>
      </c>
      <c r="C52" s="5" t="s">
        <v>18</v>
      </c>
      <c r="D52" s="5">
        <v>4</v>
      </c>
      <c r="E52" s="6" t="s">
        <v>114</v>
      </c>
      <c r="F52" s="10">
        <v>800</v>
      </c>
      <c r="G52" s="7">
        <v>18.094918990914469</v>
      </c>
      <c r="H52" s="7">
        <v>21.382985724455157</v>
      </c>
      <c r="I52" s="7">
        <v>23.607040334861022</v>
      </c>
      <c r="J52" s="7">
        <v>26.442994996962486</v>
      </c>
      <c r="K52" s="7">
        <v>28.618256539999258</v>
      </c>
      <c r="L52" s="7">
        <v>30.94481978699147</v>
      </c>
      <c r="M52" s="7">
        <v>13.361601933093478</v>
      </c>
      <c r="N52" s="7">
        <v>23.2</v>
      </c>
      <c r="O52" s="7">
        <v>17.600000000000001</v>
      </c>
      <c r="P52" s="7">
        <f t="shared" si="0"/>
        <v>-5.5999999999999979</v>
      </c>
      <c r="Q52" s="17">
        <v>162.45261830727733</v>
      </c>
      <c r="R52" s="14">
        <v>115</v>
      </c>
      <c r="S52" s="7">
        <v>-47.452618307277334</v>
      </c>
      <c r="T52" s="8" t="s">
        <v>910</v>
      </c>
    </row>
    <row r="53" spans="1:20">
      <c r="A53" s="5" t="s">
        <v>115</v>
      </c>
      <c r="B53" s="5" t="s">
        <v>116</v>
      </c>
      <c r="C53" s="5" t="s">
        <v>18</v>
      </c>
      <c r="D53" s="5">
        <v>1</v>
      </c>
      <c r="E53" s="6" t="s">
        <v>114</v>
      </c>
      <c r="F53" s="10">
        <v>800</v>
      </c>
      <c r="G53" s="7">
        <v>17.940261563641695</v>
      </c>
      <c r="H53" s="7">
        <v>21.200225162707682</v>
      </c>
      <c r="I53" s="7">
        <v>23.405270759349388</v>
      </c>
      <c r="J53" s="7">
        <v>26.216986492714945</v>
      </c>
      <c r="K53" s="7">
        <v>28.3736560567514</v>
      </c>
      <c r="L53" s="7">
        <v>30.680334147786411</v>
      </c>
      <c r="M53" s="7">
        <v>13.247400207169603</v>
      </c>
      <c r="N53" s="7">
        <v>11.4</v>
      </c>
      <c r="O53" s="7">
        <v>25.2</v>
      </c>
      <c r="P53" s="7">
        <f t="shared" si="0"/>
        <v>13.799999999999999</v>
      </c>
      <c r="Q53" s="17">
        <v>161.0641343901211</v>
      </c>
      <c r="R53" s="14">
        <v>170</v>
      </c>
      <c r="S53" s="7">
        <v>8.9358656098789027</v>
      </c>
      <c r="T53" s="8" t="s">
        <v>909</v>
      </c>
    </row>
    <row r="54" spans="1:20">
      <c r="A54" s="5" t="s">
        <v>117</v>
      </c>
      <c r="B54" s="5" t="s">
        <v>118</v>
      </c>
      <c r="C54" s="5" t="s">
        <v>18</v>
      </c>
      <c r="D54" s="5">
        <v>2</v>
      </c>
      <c r="E54" s="6" t="s">
        <v>114</v>
      </c>
      <c r="F54" s="10">
        <v>800</v>
      </c>
      <c r="G54" s="7">
        <v>17.785604136368924</v>
      </c>
      <c r="H54" s="7">
        <v>21.017464600960199</v>
      </c>
      <c r="I54" s="7">
        <v>23.203501183837755</v>
      </c>
      <c r="J54" s="7">
        <v>25.990977988467399</v>
      </c>
      <c r="K54" s="7">
        <v>28.129055573503546</v>
      </c>
      <c r="L54" s="7">
        <v>30.415848508581359</v>
      </c>
      <c r="M54" s="7">
        <v>13.133198481245726</v>
      </c>
      <c r="N54" s="7">
        <v>28.1</v>
      </c>
      <c r="O54" s="7">
        <v>30.2</v>
      </c>
      <c r="P54" s="7">
        <f t="shared" si="0"/>
        <v>2.0999999999999979</v>
      </c>
      <c r="Q54" s="17">
        <v>159.67565047296492</v>
      </c>
      <c r="R54" s="14">
        <v>211</v>
      </c>
      <c r="S54" s="7">
        <v>51.324349527035082</v>
      </c>
      <c r="T54" s="8" t="s">
        <v>909</v>
      </c>
    </row>
    <row r="55" spans="1:20">
      <c r="A55" s="5" t="s">
        <v>119</v>
      </c>
      <c r="B55" s="5" t="s">
        <v>120</v>
      </c>
      <c r="C55" s="5" t="s">
        <v>18</v>
      </c>
      <c r="D55" s="5">
        <v>2</v>
      </c>
      <c r="E55" s="6" t="s">
        <v>114</v>
      </c>
      <c r="F55" s="10">
        <v>800</v>
      </c>
      <c r="G55" s="7">
        <v>17.630946709096147</v>
      </c>
      <c r="H55" s="7">
        <v>20.834704039212717</v>
      </c>
      <c r="I55" s="7">
        <v>23.001731608326121</v>
      </c>
      <c r="J55" s="7">
        <v>25.764969484219858</v>
      </c>
      <c r="K55" s="7">
        <v>27.884455090255688</v>
      </c>
      <c r="L55" s="7">
        <v>30.1513628693763</v>
      </c>
      <c r="M55" s="7">
        <v>13.018996755321849</v>
      </c>
      <c r="N55" s="7">
        <v>23.9</v>
      </c>
      <c r="O55" s="7">
        <v>27.6</v>
      </c>
      <c r="P55" s="7">
        <f t="shared" si="0"/>
        <v>3.7000000000000028</v>
      </c>
      <c r="Q55" s="17">
        <v>158.28716655580865</v>
      </c>
      <c r="R55" s="14">
        <v>185</v>
      </c>
      <c r="S55" s="7">
        <v>26.712833444191347</v>
      </c>
      <c r="T55" s="8" t="s">
        <v>909</v>
      </c>
    </row>
    <row r="56" spans="1:20">
      <c r="A56" s="5" t="s">
        <v>121</v>
      </c>
      <c r="B56" s="5" t="s">
        <v>122</v>
      </c>
      <c r="C56" s="5" t="s">
        <v>18</v>
      </c>
      <c r="D56" s="5">
        <v>1</v>
      </c>
      <c r="E56" s="6" t="s">
        <v>114</v>
      </c>
      <c r="F56" s="10">
        <v>800</v>
      </c>
      <c r="G56" s="7">
        <v>17.630946709096147</v>
      </c>
      <c r="H56" s="7">
        <v>20.834704039212717</v>
      </c>
      <c r="I56" s="7">
        <v>23.001731608326121</v>
      </c>
      <c r="J56" s="7">
        <v>25.764969484219858</v>
      </c>
      <c r="K56" s="7">
        <v>27.884455090255688</v>
      </c>
      <c r="L56" s="7">
        <v>30.1513628693763</v>
      </c>
      <c r="M56" s="7">
        <v>13.018996755321849</v>
      </c>
      <c r="N56" s="7">
        <v>25.1</v>
      </c>
      <c r="O56" s="7">
        <v>31.2</v>
      </c>
      <c r="P56" s="7">
        <f t="shared" si="0"/>
        <v>6.0999999999999979</v>
      </c>
      <c r="Q56" s="17">
        <v>158.28716655580865</v>
      </c>
      <c r="R56" s="14">
        <v>186</v>
      </c>
      <c r="S56" s="7">
        <v>27.712833444191347</v>
      </c>
      <c r="T56" s="8" t="s">
        <v>909</v>
      </c>
    </row>
    <row r="57" spans="1:20">
      <c r="A57" s="5" t="s">
        <v>123</v>
      </c>
      <c r="B57" s="5" t="s">
        <v>124</v>
      </c>
      <c r="C57" s="5" t="s">
        <v>18</v>
      </c>
      <c r="D57" s="5">
        <v>3</v>
      </c>
      <c r="E57" s="6" t="s">
        <v>114</v>
      </c>
      <c r="F57" s="10">
        <v>800</v>
      </c>
      <c r="G57" s="7">
        <v>17.630946709096147</v>
      </c>
      <c r="H57" s="7">
        <v>20.834704039212717</v>
      </c>
      <c r="I57" s="7">
        <v>23.001731608326121</v>
      </c>
      <c r="J57" s="7">
        <v>25.764969484219858</v>
      </c>
      <c r="K57" s="7">
        <v>27.884455090255688</v>
      </c>
      <c r="L57" s="7">
        <v>30.1513628693763</v>
      </c>
      <c r="M57" s="7">
        <v>13.018996755321849</v>
      </c>
      <c r="N57" s="7">
        <v>22.8</v>
      </c>
      <c r="O57" s="7">
        <v>18.2</v>
      </c>
      <c r="P57" s="7">
        <f t="shared" si="0"/>
        <v>-4.6000000000000014</v>
      </c>
      <c r="Q57" s="17">
        <v>158.28716655580865</v>
      </c>
      <c r="R57" s="14">
        <v>141</v>
      </c>
      <c r="S57" s="7">
        <v>-17.287166555808653</v>
      </c>
      <c r="T57" s="8" t="s">
        <v>910</v>
      </c>
    </row>
    <row r="58" spans="1:20">
      <c r="A58" s="5" t="s">
        <v>125</v>
      </c>
      <c r="B58" s="5" t="s">
        <v>126</v>
      </c>
      <c r="C58" s="5" t="s">
        <v>18</v>
      </c>
      <c r="D58" s="5">
        <v>1</v>
      </c>
      <c r="E58" s="6" t="s">
        <v>114</v>
      </c>
      <c r="F58" s="10">
        <v>800</v>
      </c>
      <c r="G58" s="7">
        <v>17.476289281823373</v>
      </c>
      <c r="H58" s="7">
        <v>20.651943477465242</v>
      </c>
      <c r="I58" s="7">
        <v>22.799962032814491</v>
      </c>
      <c r="J58" s="7">
        <v>25.538960979972313</v>
      </c>
      <c r="K58" s="7">
        <v>27.63985460700783</v>
      </c>
      <c r="L58" s="7">
        <v>29.886877230171248</v>
      </c>
      <c r="M58" s="7">
        <v>12.904795029397976</v>
      </c>
      <c r="N58" s="7">
        <v>25.8</v>
      </c>
      <c r="O58" s="7">
        <v>28.2</v>
      </c>
      <c r="P58" s="7">
        <f t="shared" si="0"/>
        <v>2.3999999999999986</v>
      </c>
      <c r="Q58" s="17">
        <v>156.89868263865247</v>
      </c>
      <c r="R58" s="14">
        <v>205</v>
      </c>
      <c r="S58" s="7">
        <v>48.101317361347526</v>
      </c>
      <c r="T58" s="8" t="s">
        <v>909</v>
      </c>
    </row>
    <row r="59" spans="1:20">
      <c r="A59" s="5" t="s">
        <v>127</v>
      </c>
      <c r="B59" s="5" t="s">
        <v>128</v>
      </c>
      <c r="C59" s="5" t="s">
        <v>129</v>
      </c>
      <c r="D59" s="5">
        <v>1</v>
      </c>
      <c r="E59" s="6" t="s">
        <v>114</v>
      </c>
      <c r="F59" s="10">
        <v>800</v>
      </c>
      <c r="G59" s="7">
        <v>17.321631854550599</v>
      </c>
      <c r="H59" s="7">
        <v>20.469182915717759</v>
      </c>
      <c r="I59" s="7">
        <v>22.598192457302854</v>
      </c>
      <c r="J59" s="7">
        <v>25.312952475724771</v>
      </c>
      <c r="K59" s="7">
        <v>27.395254123759972</v>
      </c>
      <c r="L59" s="7">
        <v>29.622391590966188</v>
      </c>
      <c r="M59" s="7">
        <v>12.790593303474099</v>
      </c>
      <c r="N59" s="7">
        <v>25.8</v>
      </c>
      <c r="O59" s="7">
        <v>28.8</v>
      </c>
      <c r="P59" s="7">
        <f t="shared" si="0"/>
        <v>3</v>
      </c>
      <c r="Q59" s="17">
        <v>155.51019872149624</v>
      </c>
      <c r="R59" s="14">
        <v>197</v>
      </c>
      <c r="S59" s="7">
        <v>41.489801278503762</v>
      </c>
      <c r="T59" s="8" t="s">
        <v>909</v>
      </c>
    </row>
    <row r="60" spans="1:20">
      <c r="A60" s="5" t="s">
        <v>130</v>
      </c>
      <c r="B60" s="5" t="s">
        <v>131</v>
      </c>
      <c r="C60" s="5" t="s">
        <v>18</v>
      </c>
      <c r="D60" s="5">
        <v>1</v>
      </c>
      <c r="E60" s="6" t="s">
        <v>114</v>
      </c>
      <c r="F60" s="10">
        <v>800</v>
      </c>
      <c r="G60" s="7">
        <v>17.321631854550599</v>
      </c>
      <c r="H60" s="7">
        <v>20.469182915717759</v>
      </c>
      <c r="I60" s="7">
        <v>22.598192457302854</v>
      </c>
      <c r="J60" s="7">
        <v>25.312952475724771</v>
      </c>
      <c r="K60" s="7">
        <v>27.395254123759972</v>
      </c>
      <c r="L60" s="7">
        <v>29.622391590966188</v>
      </c>
      <c r="M60" s="7">
        <v>12.790593303474099</v>
      </c>
      <c r="N60" s="7">
        <v>18.3</v>
      </c>
      <c r="O60" s="7">
        <v>20.8</v>
      </c>
      <c r="P60" s="7">
        <f t="shared" si="0"/>
        <v>2.5</v>
      </c>
      <c r="Q60" s="17">
        <v>155.51019872149624</v>
      </c>
      <c r="R60" s="14">
        <v>139</v>
      </c>
      <c r="S60" s="7">
        <v>-16.510198721496238</v>
      </c>
      <c r="T60" s="8" t="s">
        <v>910</v>
      </c>
    </row>
    <row r="61" spans="1:20">
      <c r="A61" s="5" t="s">
        <v>132</v>
      </c>
      <c r="B61" s="5" t="s">
        <v>133</v>
      </c>
      <c r="C61" s="5" t="s">
        <v>67</v>
      </c>
      <c r="D61" s="5">
        <v>1</v>
      </c>
      <c r="E61" s="6" t="s">
        <v>114</v>
      </c>
      <c r="F61" s="10">
        <v>800</v>
      </c>
      <c r="G61" s="7">
        <v>17.321631854550599</v>
      </c>
      <c r="H61" s="7">
        <v>20.469182915717759</v>
      </c>
      <c r="I61" s="7">
        <v>22.598192457302854</v>
      </c>
      <c r="J61" s="7">
        <v>25.312952475724771</v>
      </c>
      <c r="K61" s="7">
        <v>27.395254123759972</v>
      </c>
      <c r="L61" s="7">
        <v>29.622391590966188</v>
      </c>
      <c r="M61" s="7">
        <v>12.790593303474099</v>
      </c>
      <c r="N61" s="7">
        <v>19.2</v>
      </c>
      <c r="O61" s="7">
        <v>25</v>
      </c>
      <c r="P61" s="7">
        <f t="shared" si="0"/>
        <v>5.8000000000000007</v>
      </c>
      <c r="Q61" s="17">
        <v>155.51019872149624</v>
      </c>
      <c r="R61" s="14">
        <v>182</v>
      </c>
      <c r="S61" s="7">
        <v>26.489801278503762</v>
      </c>
      <c r="T61" s="8" t="s">
        <v>909</v>
      </c>
    </row>
    <row r="62" spans="1:20">
      <c r="A62" s="5" t="s">
        <v>134</v>
      </c>
      <c r="B62" s="5" t="s">
        <v>135</v>
      </c>
      <c r="C62" s="5" t="s">
        <v>18</v>
      </c>
      <c r="D62" s="5">
        <v>4</v>
      </c>
      <c r="E62" s="6" t="s">
        <v>114</v>
      </c>
      <c r="F62" s="10">
        <v>800</v>
      </c>
      <c r="G62" s="7">
        <v>17.166974427277829</v>
      </c>
      <c r="H62" s="7">
        <v>20.286422353970281</v>
      </c>
      <c r="I62" s="7">
        <v>22.396422881791224</v>
      </c>
      <c r="J62" s="7">
        <v>25.086943971477233</v>
      </c>
      <c r="K62" s="7">
        <v>27.150653640512115</v>
      </c>
      <c r="L62" s="7">
        <v>29.357905951761136</v>
      </c>
      <c r="M62" s="7">
        <v>12.676391577550223</v>
      </c>
      <c r="N62" s="7">
        <v>20.7</v>
      </c>
      <c r="O62" s="7">
        <v>37</v>
      </c>
      <c r="P62" s="7">
        <f t="shared" si="0"/>
        <v>16.3</v>
      </c>
      <c r="Q62" s="17">
        <v>154.12171480434003</v>
      </c>
      <c r="R62" s="14">
        <v>313</v>
      </c>
      <c r="S62" s="7">
        <v>158.87828519565997</v>
      </c>
      <c r="T62" s="8" t="s">
        <v>909</v>
      </c>
    </row>
    <row r="63" spans="1:20">
      <c r="A63" s="5" t="s">
        <v>136</v>
      </c>
      <c r="B63" s="5" t="s">
        <v>137</v>
      </c>
      <c r="C63" s="5" t="s">
        <v>67</v>
      </c>
      <c r="D63" s="5">
        <v>1</v>
      </c>
      <c r="E63" s="6" t="s">
        <v>114</v>
      </c>
      <c r="F63" s="10">
        <v>800</v>
      </c>
      <c r="G63" s="7">
        <v>17.012317000005055</v>
      </c>
      <c r="H63" s="7">
        <v>20.103661792222798</v>
      </c>
      <c r="I63" s="7">
        <v>22.194653306279591</v>
      </c>
      <c r="J63" s="7">
        <v>24.860935467229684</v>
      </c>
      <c r="K63" s="7">
        <v>26.90605315726426</v>
      </c>
      <c r="L63" s="7">
        <v>29.093420312556081</v>
      </c>
      <c r="M63" s="7">
        <v>12.562189851626346</v>
      </c>
      <c r="N63" s="7">
        <v>17.3</v>
      </c>
      <c r="O63" s="7">
        <v>28.4</v>
      </c>
      <c r="P63" s="7">
        <f t="shared" si="0"/>
        <v>11.099999999999998</v>
      </c>
      <c r="Q63" s="17">
        <v>152.73323088718382</v>
      </c>
      <c r="R63" s="14">
        <v>210</v>
      </c>
      <c r="S63" s="7">
        <v>57.266769112816178</v>
      </c>
      <c r="T63" s="8" t="s">
        <v>909</v>
      </c>
    </row>
    <row r="64" spans="1:20">
      <c r="A64" s="5" t="s">
        <v>138</v>
      </c>
      <c r="B64" s="5" t="s">
        <v>139</v>
      </c>
      <c r="C64" s="5" t="s">
        <v>18</v>
      </c>
      <c r="D64" s="5">
        <v>0</v>
      </c>
      <c r="E64" s="6" t="s">
        <v>114</v>
      </c>
      <c r="F64" s="10">
        <v>800</v>
      </c>
      <c r="G64" s="7">
        <v>16.857659572732285</v>
      </c>
      <c r="H64" s="7">
        <v>19.920901230475323</v>
      </c>
      <c r="I64" s="7">
        <v>21.992883730767964</v>
      </c>
      <c r="J64" s="7">
        <v>24.634926962982149</v>
      </c>
      <c r="K64" s="7">
        <v>26.661452674016406</v>
      </c>
      <c r="L64" s="7">
        <v>28.828934673351029</v>
      </c>
      <c r="M64" s="7">
        <v>12.447988125702475</v>
      </c>
      <c r="N64" s="7">
        <v>20.9</v>
      </c>
      <c r="O64" s="7">
        <v>25.8</v>
      </c>
      <c r="P64" s="7">
        <f t="shared" si="0"/>
        <v>4.9000000000000021</v>
      </c>
      <c r="Q64" s="17">
        <v>151.34474697002761</v>
      </c>
      <c r="R64" s="14">
        <v>174</v>
      </c>
      <c r="S64" s="7">
        <v>22.655253029972386</v>
      </c>
      <c r="T64" s="8" t="s">
        <v>909</v>
      </c>
    </row>
    <row r="65" spans="1:20">
      <c r="A65" s="5" t="s">
        <v>140</v>
      </c>
      <c r="B65" s="5" t="s">
        <v>141</v>
      </c>
      <c r="C65" s="5" t="s">
        <v>18</v>
      </c>
      <c r="D65" s="5">
        <v>0</v>
      </c>
      <c r="E65" s="6" t="s">
        <v>114</v>
      </c>
      <c r="F65" s="10">
        <v>800</v>
      </c>
      <c r="G65" s="7">
        <v>16.857659572732285</v>
      </c>
      <c r="H65" s="7">
        <v>19.920901230475323</v>
      </c>
      <c r="I65" s="7">
        <v>21.992883730767964</v>
      </c>
      <c r="J65" s="7">
        <v>24.634926962982149</v>
      </c>
      <c r="K65" s="7">
        <v>26.661452674016406</v>
      </c>
      <c r="L65" s="7">
        <v>28.828934673351029</v>
      </c>
      <c r="M65" s="7">
        <v>12.447988125702475</v>
      </c>
      <c r="N65" s="7">
        <v>21.5</v>
      </c>
      <c r="O65" s="7">
        <v>33.799999999999997</v>
      </c>
      <c r="P65" s="7">
        <f t="shared" si="0"/>
        <v>12.299999999999997</v>
      </c>
      <c r="Q65" s="17">
        <v>151.34474697002761</v>
      </c>
      <c r="R65" s="14">
        <v>231</v>
      </c>
      <c r="S65" s="7">
        <v>79.655253029972386</v>
      </c>
      <c r="T65" s="8" t="s">
        <v>909</v>
      </c>
    </row>
    <row r="66" spans="1:20">
      <c r="A66" s="5" t="s">
        <v>142</v>
      </c>
      <c r="B66" s="5" t="s">
        <v>143</v>
      </c>
      <c r="C66" s="5" t="s">
        <v>67</v>
      </c>
      <c r="D66" s="5">
        <v>1</v>
      </c>
      <c r="E66" s="6" t="s">
        <v>114</v>
      </c>
      <c r="F66" s="10">
        <v>800</v>
      </c>
      <c r="G66" s="7">
        <v>16.857659572732285</v>
      </c>
      <c r="H66" s="7">
        <v>19.920901230475323</v>
      </c>
      <c r="I66" s="7">
        <v>21.992883730767964</v>
      </c>
      <c r="J66" s="7">
        <v>24.634926962982149</v>
      </c>
      <c r="K66" s="7">
        <v>26.661452674016406</v>
      </c>
      <c r="L66" s="7">
        <v>28.828934673351029</v>
      </c>
      <c r="M66" s="7">
        <v>12.447988125702475</v>
      </c>
      <c r="N66" s="7">
        <v>21</v>
      </c>
      <c r="O66" s="7">
        <v>29</v>
      </c>
      <c r="P66" s="7">
        <f t="shared" si="0"/>
        <v>8</v>
      </c>
      <c r="Q66" s="17">
        <v>151.34474697002761</v>
      </c>
      <c r="R66" s="14">
        <v>194</v>
      </c>
      <c r="S66" s="7">
        <v>42.655253029972386</v>
      </c>
      <c r="T66" s="8" t="s">
        <v>909</v>
      </c>
    </row>
    <row r="67" spans="1:20">
      <c r="A67" s="5" t="s">
        <v>144</v>
      </c>
      <c r="B67" s="5" t="s">
        <v>145</v>
      </c>
      <c r="C67" s="5" t="s">
        <v>18</v>
      </c>
      <c r="D67" s="5">
        <v>0</v>
      </c>
      <c r="E67" s="6" t="s">
        <v>114</v>
      </c>
      <c r="F67" s="10">
        <v>800</v>
      </c>
      <c r="G67" s="7">
        <v>16.548344718186733</v>
      </c>
      <c r="H67" s="7">
        <v>19.555380106980358</v>
      </c>
      <c r="I67" s="7">
        <v>21.589344579744697</v>
      </c>
      <c r="J67" s="7">
        <v>24.182909954487059</v>
      </c>
      <c r="K67" s="7">
        <v>26.172251707520687</v>
      </c>
      <c r="L67" s="7">
        <v>28.299963394940914</v>
      </c>
      <c r="M67" s="7">
        <v>12.219584673854721</v>
      </c>
      <c r="N67" s="7">
        <v>21.1</v>
      </c>
      <c r="O67" s="7">
        <v>25.4</v>
      </c>
      <c r="P67" s="7">
        <f t="shared" si="0"/>
        <v>4.2999999999999972</v>
      </c>
      <c r="Q67" s="17">
        <v>148.56777913571517</v>
      </c>
      <c r="R67" s="14">
        <v>181</v>
      </c>
      <c r="S67" s="7">
        <v>32.43222086428483</v>
      </c>
      <c r="T67" s="8" t="s">
        <v>909</v>
      </c>
    </row>
    <row r="68" spans="1:20">
      <c r="A68" s="5" t="s">
        <v>146</v>
      </c>
      <c r="B68" s="5" t="s">
        <v>147</v>
      </c>
      <c r="C68" s="5" t="s">
        <v>18</v>
      </c>
      <c r="D68" s="5">
        <v>1</v>
      </c>
      <c r="E68" s="6" t="s">
        <v>114</v>
      </c>
      <c r="F68" s="10">
        <v>800</v>
      </c>
      <c r="G68" s="7">
        <v>16.548344718186733</v>
      </c>
      <c r="H68" s="7">
        <v>19.555380106980358</v>
      </c>
      <c r="I68" s="7">
        <v>21.589344579744697</v>
      </c>
      <c r="J68" s="7">
        <v>24.182909954487059</v>
      </c>
      <c r="K68" s="7">
        <v>26.172251707520687</v>
      </c>
      <c r="L68" s="7">
        <v>28.299963394940914</v>
      </c>
      <c r="M68" s="7">
        <v>12.219584673854721</v>
      </c>
      <c r="N68" s="7">
        <v>19.600000000000001</v>
      </c>
      <c r="O68" s="7">
        <v>32.200000000000003</v>
      </c>
      <c r="P68" s="7">
        <f t="shared" si="0"/>
        <v>12.600000000000001</v>
      </c>
      <c r="Q68" s="17">
        <v>148.56777913571517</v>
      </c>
      <c r="R68" s="14">
        <v>212</v>
      </c>
      <c r="S68" s="7">
        <v>63.43222086428483</v>
      </c>
      <c r="T68" s="8" t="s">
        <v>909</v>
      </c>
    </row>
    <row r="69" spans="1:20">
      <c r="A69" s="5" t="s">
        <v>148</v>
      </c>
      <c r="B69" s="5" t="s">
        <v>149</v>
      </c>
      <c r="C69" s="5" t="s">
        <v>18</v>
      </c>
      <c r="D69" s="5">
        <v>2</v>
      </c>
      <c r="E69" s="6" t="s">
        <v>114</v>
      </c>
      <c r="F69" s="10">
        <v>800</v>
      </c>
      <c r="G69" s="7">
        <v>16.548344718186733</v>
      </c>
      <c r="H69" s="7">
        <v>19.555380106980358</v>
      </c>
      <c r="I69" s="7">
        <v>21.589344579744697</v>
      </c>
      <c r="J69" s="7">
        <v>24.182909954487059</v>
      </c>
      <c r="K69" s="7">
        <v>26.172251707520687</v>
      </c>
      <c r="L69" s="7">
        <v>28.299963394940914</v>
      </c>
      <c r="M69" s="7">
        <v>12.219584673854721</v>
      </c>
      <c r="N69" s="7">
        <v>18.5</v>
      </c>
      <c r="O69" s="7">
        <v>26.8</v>
      </c>
      <c r="P69" s="7">
        <f t="shared" ref="P69:P132" si="1">O69-N69</f>
        <v>8.3000000000000007</v>
      </c>
      <c r="Q69" s="17">
        <v>148.56777913571517</v>
      </c>
      <c r="R69" s="14">
        <v>169</v>
      </c>
      <c r="S69" s="7">
        <v>20.43222086428483</v>
      </c>
      <c r="T69" s="8" t="s">
        <v>909</v>
      </c>
    </row>
    <row r="70" spans="1:20">
      <c r="A70" s="5" t="s">
        <v>150</v>
      </c>
      <c r="B70" s="5" t="s">
        <v>151</v>
      </c>
      <c r="C70" s="5" t="s">
        <v>18</v>
      </c>
      <c r="D70" s="5">
        <v>0</v>
      </c>
      <c r="E70" s="6" t="s">
        <v>114</v>
      </c>
      <c r="F70" s="10">
        <v>800</v>
      </c>
      <c r="G70" s="7">
        <v>16.393687290913963</v>
      </c>
      <c r="H70" s="7">
        <v>19.37261954523288</v>
      </c>
      <c r="I70" s="7">
        <v>21.387575004233064</v>
      </c>
      <c r="J70" s="7">
        <v>23.956901450239517</v>
      </c>
      <c r="K70" s="7">
        <v>25.927651224272836</v>
      </c>
      <c r="L70" s="7">
        <v>28.035477755735862</v>
      </c>
      <c r="M70" s="7">
        <v>12.105382947930844</v>
      </c>
      <c r="N70" s="7">
        <v>18.7</v>
      </c>
      <c r="O70" s="7">
        <v>19</v>
      </c>
      <c r="P70" s="7">
        <f t="shared" si="1"/>
        <v>0.30000000000000071</v>
      </c>
      <c r="Q70" s="17">
        <v>147.17929521855896</v>
      </c>
      <c r="R70" s="14">
        <v>125</v>
      </c>
      <c r="S70" s="7">
        <v>-22.179295218558963</v>
      </c>
      <c r="T70" s="8" t="s">
        <v>910</v>
      </c>
    </row>
    <row r="71" spans="1:20">
      <c r="A71" s="5" t="s">
        <v>152</v>
      </c>
      <c r="B71" s="5" t="s">
        <v>153</v>
      </c>
      <c r="C71" s="5" t="s">
        <v>18</v>
      </c>
      <c r="D71" s="5">
        <v>1</v>
      </c>
      <c r="E71" s="6" t="s">
        <v>114</v>
      </c>
      <c r="F71" s="10">
        <v>800</v>
      </c>
      <c r="G71" s="7">
        <v>16.393687290913963</v>
      </c>
      <c r="H71" s="7">
        <v>19.37261954523288</v>
      </c>
      <c r="I71" s="7">
        <v>21.387575004233064</v>
      </c>
      <c r="J71" s="7">
        <v>23.956901450239517</v>
      </c>
      <c r="K71" s="7">
        <v>25.927651224272836</v>
      </c>
      <c r="L71" s="7">
        <v>28.035477755735862</v>
      </c>
      <c r="M71" s="7">
        <v>12.105382947930844</v>
      </c>
      <c r="N71" s="7">
        <v>18.899999999999999</v>
      </c>
      <c r="O71" s="7">
        <v>26.2</v>
      </c>
      <c r="P71" s="7">
        <f t="shared" si="1"/>
        <v>7.3000000000000007</v>
      </c>
      <c r="Q71" s="17">
        <v>147.17929521855896</v>
      </c>
      <c r="R71" s="14">
        <v>148</v>
      </c>
      <c r="S71" s="7">
        <v>0.82070478144103731</v>
      </c>
      <c r="T71" s="8" t="s">
        <v>909</v>
      </c>
    </row>
    <row r="72" spans="1:20">
      <c r="A72" s="5" t="s">
        <v>154</v>
      </c>
      <c r="B72" s="5" t="s">
        <v>155</v>
      </c>
      <c r="C72" s="5" t="s">
        <v>18</v>
      </c>
      <c r="D72" s="5">
        <v>2</v>
      </c>
      <c r="E72" s="6" t="s">
        <v>114</v>
      </c>
      <c r="F72" s="10">
        <v>800</v>
      </c>
      <c r="G72" s="7">
        <v>16.239029863641189</v>
      </c>
      <c r="H72" s="7">
        <v>19.189858983485401</v>
      </c>
      <c r="I72" s="7">
        <v>21.18580542872143</v>
      </c>
      <c r="J72" s="7">
        <v>23.730892945991972</v>
      </c>
      <c r="K72" s="7">
        <v>25.683050741024974</v>
      </c>
      <c r="L72" s="7">
        <v>27.770992116530806</v>
      </c>
      <c r="M72" s="7">
        <v>11.991181222006967</v>
      </c>
      <c r="N72" s="7">
        <v>12.1</v>
      </c>
      <c r="O72" s="7">
        <v>16.600000000000001</v>
      </c>
      <c r="P72" s="7">
        <f t="shared" si="1"/>
        <v>4.5000000000000018</v>
      </c>
      <c r="Q72" s="17">
        <v>145.79081130140273</v>
      </c>
      <c r="R72" s="14">
        <v>115</v>
      </c>
      <c r="S72" s="7">
        <v>-30.790811301402726</v>
      </c>
      <c r="T72" s="8" t="s">
        <v>910</v>
      </c>
    </row>
    <row r="73" spans="1:20">
      <c r="A73" s="5" t="s">
        <v>156</v>
      </c>
      <c r="B73" s="5" t="s">
        <v>157</v>
      </c>
      <c r="C73" s="5" t="s">
        <v>18</v>
      </c>
      <c r="D73" s="5">
        <v>2</v>
      </c>
      <c r="E73" s="6" t="s">
        <v>114</v>
      </c>
      <c r="F73" s="10">
        <v>800</v>
      </c>
      <c r="G73" s="7">
        <v>16.239029863641189</v>
      </c>
      <c r="H73" s="7">
        <v>19.189858983485401</v>
      </c>
      <c r="I73" s="7">
        <v>21.18580542872143</v>
      </c>
      <c r="J73" s="7">
        <v>23.730892945991972</v>
      </c>
      <c r="K73" s="7">
        <v>25.683050741024974</v>
      </c>
      <c r="L73" s="7">
        <v>27.770992116530806</v>
      </c>
      <c r="M73" s="7">
        <v>11.991181222006967</v>
      </c>
      <c r="N73" s="7">
        <v>17.5</v>
      </c>
      <c r="O73" s="7">
        <v>25.4</v>
      </c>
      <c r="P73" s="7">
        <f t="shared" si="1"/>
        <v>7.8999999999999986</v>
      </c>
      <c r="Q73" s="17">
        <v>145.79081130140273</v>
      </c>
      <c r="R73" s="14">
        <v>167</v>
      </c>
      <c r="S73" s="7">
        <v>21.209188698597274</v>
      </c>
      <c r="T73" s="8" t="s">
        <v>909</v>
      </c>
    </row>
    <row r="74" spans="1:20">
      <c r="A74" s="5" t="s">
        <v>158</v>
      </c>
      <c r="B74" s="5" t="s">
        <v>159</v>
      </c>
      <c r="C74" s="5" t="s">
        <v>18</v>
      </c>
      <c r="D74" s="5">
        <v>0</v>
      </c>
      <c r="E74" s="6" t="s">
        <v>114</v>
      </c>
      <c r="F74" s="10">
        <v>800</v>
      </c>
      <c r="G74" s="7">
        <v>15.929715009095641</v>
      </c>
      <c r="H74" s="7">
        <v>18.824337859990436</v>
      </c>
      <c r="I74" s="7">
        <v>20.782266277698163</v>
      </c>
      <c r="J74" s="7">
        <v>23.278875937496885</v>
      </c>
      <c r="K74" s="7">
        <v>25.193849774529259</v>
      </c>
      <c r="L74" s="7">
        <v>27.242020838120695</v>
      </c>
      <c r="M74" s="7">
        <v>11.762777770159213</v>
      </c>
      <c r="N74" s="7">
        <v>16.899999999999999</v>
      </c>
      <c r="O74" s="7">
        <v>0.8</v>
      </c>
      <c r="P74" s="7">
        <f t="shared" si="1"/>
        <v>-16.099999999999998</v>
      </c>
      <c r="Q74" s="17">
        <v>143.01384346709028</v>
      </c>
      <c r="R74" s="14">
        <v>13</v>
      </c>
      <c r="S74" s="7">
        <v>-130.01384346709028</v>
      </c>
      <c r="T74" s="8" t="s">
        <v>910</v>
      </c>
    </row>
    <row r="75" spans="1:20">
      <c r="A75" s="5" t="s">
        <v>160</v>
      </c>
      <c r="B75" s="5" t="s">
        <v>161</v>
      </c>
      <c r="C75" s="5" t="s">
        <v>18</v>
      </c>
      <c r="D75" s="5">
        <v>2</v>
      </c>
      <c r="E75" s="6" t="s">
        <v>114</v>
      </c>
      <c r="F75" s="10">
        <v>800</v>
      </c>
      <c r="G75" s="7">
        <v>15.929715009095641</v>
      </c>
      <c r="H75" s="7">
        <v>18.824337859990436</v>
      </c>
      <c r="I75" s="7">
        <v>20.782266277698163</v>
      </c>
      <c r="J75" s="7">
        <v>23.278875937496885</v>
      </c>
      <c r="K75" s="7">
        <v>25.193849774529259</v>
      </c>
      <c r="L75" s="7">
        <v>27.242020838120695</v>
      </c>
      <c r="M75" s="7">
        <v>11.762777770159213</v>
      </c>
      <c r="N75" s="7">
        <v>20.7</v>
      </c>
      <c r="O75" s="7">
        <v>19.399999999999999</v>
      </c>
      <c r="P75" s="7">
        <f t="shared" si="1"/>
        <v>-1.3000000000000007</v>
      </c>
      <c r="Q75" s="17">
        <v>143.01384346709028</v>
      </c>
      <c r="R75" s="14">
        <v>126</v>
      </c>
      <c r="S75" s="7">
        <v>-17.013843467090283</v>
      </c>
      <c r="T75" s="8" t="s">
        <v>910</v>
      </c>
    </row>
    <row r="76" spans="1:20">
      <c r="A76" s="5" t="s">
        <v>162</v>
      </c>
      <c r="B76" s="5" t="s">
        <v>163</v>
      </c>
      <c r="C76" s="5" t="s">
        <v>18</v>
      </c>
      <c r="D76" s="5">
        <v>4</v>
      </c>
      <c r="E76" s="6" t="s">
        <v>114</v>
      </c>
      <c r="F76" s="10">
        <v>800</v>
      </c>
      <c r="G76" s="7">
        <v>15.929715009095641</v>
      </c>
      <c r="H76" s="7">
        <v>18.824337859990436</v>
      </c>
      <c r="I76" s="7">
        <v>20.782266277698163</v>
      </c>
      <c r="J76" s="7">
        <v>23.278875937496885</v>
      </c>
      <c r="K76" s="7">
        <v>25.193849774529259</v>
      </c>
      <c r="L76" s="7">
        <v>27.242020838120695</v>
      </c>
      <c r="M76" s="7">
        <v>11.762777770159213</v>
      </c>
      <c r="N76" s="7">
        <v>22.7</v>
      </c>
      <c r="O76" s="7">
        <v>19.2</v>
      </c>
      <c r="P76" s="7">
        <f t="shared" si="1"/>
        <v>-3.5</v>
      </c>
      <c r="Q76" s="17">
        <v>143.01384346709028</v>
      </c>
      <c r="R76" s="14">
        <v>139</v>
      </c>
      <c r="S76" s="7">
        <v>-4.0138434670902825</v>
      </c>
      <c r="T76" s="8" t="s">
        <v>910</v>
      </c>
    </row>
    <row r="77" spans="1:20">
      <c r="A77" s="5" t="s">
        <v>164</v>
      </c>
      <c r="B77" s="5" t="s">
        <v>165</v>
      </c>
      <c r="C77" s="5" t="s">
        <v>18</v>
      </c>
      <c r="D77" s="5">
        <v>2</v>
      </c>
      <c r="E77" s="6" t="s">
        <v>114</v>
      </c>
      <c r="F77" s="10">
        <v>800</v>
      </c>
      <c r="G77" s="7">
        <v>15.465742727277325</v>
      </c>
      <c r="H77" s="7">
        <v>18.276056174748</v>
      </c>
      <c r="I77" s="7">
        <v>20.176957551163269</v>
      </c>
      <c r="J77" s="7">
        <v>22.600850424754263</v>
      </c>
      <c r="K77" s="7">
        <v>24.460048324785696</v>
      </c>
      <c r="L77" s="7">
        <v>26.448563920505535</v>
      </c>
      <c r="M77" s="7">
        <v>11.420172592387591</v>
      </c>
      <c r="N77" s="7">
        <v>20.3</v>
      </c>
      <c r="O77" s="7">
        <v>21.6</v>
      </c>
      <c r="P77" s="7">
        <f t="shared" si="1"/>
        <v>1.3000000000000007</v>
      </c>
      <c r="Q77" s="17">
        <v>138.84839171562169</v>
      </c>
      <c r="R77" s="14">
        <v>159</v>
      </c>
      <c r="S77" s="7">
        <v>20.151608284378312</v>
      </c>
      <c r="T77" s="8" t="s">
        <v>909</v>
      </c>
    </row>
    <row r="78" spans="1:20">
      <c r="A78" s="5" t="s">
        <v>166</v>
      </c>
      <c r="B78" s="5" t="s">
        <v>167</v>
      </c>
      <c r="C78" s="5" t="s">
        <v>18</v>
      </c>
      <c r="D78" s="5">
        <v>0</v>
      </c>
      <c r="E78" s="6" t="s">
        <v>114</v>
      </c>
      <c r="F78" s="10">
        <v>800</v>
      </c>
      <c r="G78" s="7">
        <v>15.465742727277325</v>
      </c>
      <c r="H78" s="7">
        <v>18.276056174748</v>
      </c>
      <c r="I78" s="7">
        <v>20.176957551163269</v>
      </c>
      <c r="J78" s="7">
        <v>22.600850424754263</v>
      </c>
      <c r="K78" s="7">
        <v>24.460048324785696</v>
      </c>
      <c r="L78" s="7">
        <v>26.448563920505535</v>
      </c>
      <c r="M78" s="7">
        <v>11.420172592387591</v>
      </c>
      <c r="N78" s="7">
        <v>15.4</v>
      </c>
      <c r="O78" s="7">
        <v>6.4</v>
      </c>
      <c r="P78" s="7">
        <f t="shared" si="1"/>
        <v>-9</v>
      </c>
      <c r="Q78" s="17">
        <v>138.84839171562169</v>
      </c>
      <c r="R78" s="14">
        <v>66</v>
      </c>
      <c r="S78" s="7">
        <v>-72.848391715621688</v>
      </c>
      <c r="T78" s="8" t="s">
        <v>910</v>
      </c>
    </row>
    <row r="79" spans="1:20">
      <c r="A79" s="5" t="s">
        <v>168</v>
      </c>
      <c r="B79" s="5" t="s">
        <v>169</v>
      </c>
      <c r="C79" s="5" t="s">
        <v>18</v>
      </c>
      <c r="D79" s="5">
        <v>2</v>
      </c>
      <c r="E79" s="6" t="s">
        <v>114</v>
      </c>
      <c r="F79" s="10">
        <v>800</v>
      </c>
      <c r="G79" s="7">
        <v>15.465742727277325</v>
      </c>
      <c r="H79" s="7">
        <v>18.276056174748</v>
      </c>
      <c r="I79" s="7">
        <v>20.176957551163269</v>
      </c>
      <c r="J79" s="7">
        <v>22.600850424754263</v>
      </c>
      <c r="K79" s="7">
        <v>24.460048324785696</v>
      </c>
      <c r="L79" s="7">
        <v>26.448563920505535</v>
      </c>
      <c r="M79" s="7">
        <v>11.420172592387591</v>
      </c>
      <c r="N79" s="7">
        <v>19.899999999999999</v>
      </c>
      <c r="O79" s="7">
        <v>17.2</v>
      </c>
      <c r="P79" s="7">
        <f t="shared" si="1"/>
        <v>-2.6999999999999993</v>
      </c>
      <c r="Q79" s="17">
        <v>138.84839171562169</v>
      </c>
      <c r="R79" s="14">
        <v>116</v>
      </c>
      <c r="S79" s="7">
        <v>-22.848391715621688</v>
      </c>
      <c r="T79" s="8" t="s">
        <v>910</v>
      </c>
    </row>
    <row r="80" spans="1:20">
      <c r="A80" s="5" t="s">
        <v>170</v>
      </c>
      <c r="B80" s="5" t="s">
        <v>171</v>
      </c>
      <c r="C80" s="5" t="s">
        <v>18</v>
      </c>
      <c r="D80" s="5">
        <v>1</v>
      </c>
      <c r="E80" s="6" t="s">
        <v>114</v>
      </c>
      <c r="F80" s="10">
        <v>800</v>
      </c>
      <c r="G80" s="7">
        <v>15.311085300004551</v>
      </c>
      <c r="H80" s="7">
        <v>18.093295613000517</v>
      </c>
      <c r="I80" s="7">
        <v>19.975187975651632</v>
      </c>
      <c r="J80" s="7">
        <v>22.374841920506718</v>
      </c>
      <c r="K80" s="7">
        <v>24.215447841537834</v>
      </c>
      <c r="L80" s="7">
        <v>26.184078281300476</v>
      </c>
      <c r="M80" s="7">
        <v>11.305970866463714</v>
      </c>
      <c r="N80" s="7">
        <v>15.7</v>
      </c>
      <c r="O80" s="7">
        <v>18.8</v>
      </c>
      <c r="P80" s="7">
        <f t="shared" si="1"/>
        <v>3.1000000000000014</v>
      </c>
      <c r="Q80" s="17">
        <v>137.45990779846545</v>
      </c>
      <c r="R80" s="14">
        <v>123</v>
      </c>
      <c r="S80" s="7">
        <v>-14.459907798465451</v>
      </c>
      <c r="T80" s="8" t="s">
        <v>910</v>
      </c>
    </row>
    <row r="81" spans="1:20">
      <c r="A81" s="5" t="s">
        <v>172</v>
      </c>
      <c r="B81" s="5" t="s">
        <v>173</v>
      </c>
      <c r="C81" s="5" t="s">
        <v>18</v>
      </c>
      <c r="D81" s="5">
        <v>1</v>
      </c>
      <c r="E81" s="6" t="s">
        <v>114</v>
      </c>
      <c r="F81" s="10">
        <v>800</v>
      </c>
      <c r="G81" s="7">
        <v>15.311085300004551</v>
      </c>
      <c r="H81" s="7">
        <v>18.093295613000517</v>
      </c>
      <c r="I81" s="7">
        <v>19.975187975651632</v>
      </c>
      <c r="J81" s="7">
        <v>22.374841920506718</v>
      </c>
      <c r="K81" s="7">
        <v>24.215447841537834</v>
      </c>
      <c r="L81" s="7">
        <v>26.184078281300476</v>
      </c>
      <c r="M81" s="7">
        <v>11.305970866463714</v>
      </c>
      <c r="N81" s="7">
        <v>24.1</v>
      </c>
      <c r="O81" s="7">
        <v>28.2</v>
      </c>
      <c r="P81" s="7">
        <f t="shared" si="1"/>
        <v>4.0999999999999979</v>
      </c>
      <c r="Q81" s="17">
        <v>137.45990779846545</v>
      </c>
      <c r="R81" s="14">
        <v>204</v>
      </c>
      <c r="S81" s="7">
        <v>66.540092201534549</v>
      </c>
      <c r="T81" s="8" t="s">
        <v>909</v>
      </c>
    </row>
    <row r="82" spans="1:20">
      <c r="A82" s="5" t="s">
        <v>174</v>
      </c>
      <c r="B82" s="5" t="s">
        <v>175</v>
      </c>
      <c r="C82" s="5" t="s">
        <v>18</v>
      </c>
      <c r="D82" s="5">
        <v>2</v>
      </c>
      <c r="E82" s="6" t="s">
        <v>114</v>
      </c>
      <c r="F82" s="10">
        <v>800</v>
      </c>
      <c r="G82" s="7">
        <v>15.311085300004551</v>
      </c>
      <c r="H82" s="7">
        <v>18.093295613000517</v>
      </c>
      <c r="I82" s="7">
        <v>19.975187975651632</v>
      </c>
      <c r="J82" s="7">
        <v>22.374841920506718</v>
      </c>
      <c r="K82" s="7">
        <v>24.215447841537834</v>
      </c>
      <c r="L82" s="7">
        <v>26.184078281300476</v>
      </c>
      <c r="M82" s="7">
        <v>11.305970866463714</v>
      </c>
      <c r="N82" s="7">
        <v>22.6</v>
      </c>
      <c r="O82" s="7">
        <v>21.2</v>
      </c>
      <c r="P82" s="7">
        <f t="shared" si="1"/>
        <v>-1.4000000000000021</v>
      </c>
      <c r="Q82" s="17">
        <v>137.45990779846545</v>
      </c>
      <c r="R82" s="14">
        <v>144</v>
      </c>
      <c r="S82" s="7">
        <v>6.5400922015345486</v>
      </c>
      <c r="T82" s="8" t="s">
        <v>909</v>
      </c>
    </row>
    <row r="83" spans="1:20">
      <c r="A83" s="5" t="s">
        <v>176</v>
      </c>
      <c r="B83" s="5" t="s">
        <v>177</v>
      </c>
      <c r="C83" s="5" t="s">
        <v>18</v>
      </c>
      <c r="D83" s="5">
        <v>2</v>
      </c>
      <c r="E83" s="6" t="s">
        <v>114</v>
      </c>
      <c r="F83" s="10">
        <v>800</v>
      </c>
      <c r="G83" s="7">
        <v>15.311085300004551</v>
      </c>
      <c r="H83" s="7">
        <v>18.093295613000517</v>
      </c>
      <c r="I83" s="7">
        <v>19.975187975651632</v>
      </c>
      <c r="J83" s="7">
        <v>22.374841920506718</v>
      </c>
      <c r="K83" s="7">
        <v>24.215447841537834</v>
      </c>
      <c r="L83" s="7">
        <v>26.184078281300476</v>
      </c>
      <c r="M83" s="7">
        <v>11.305970866463714</v>
      </c>
      <c r="N83" s="7">
        <v>18.2</v>
      </c>
      <c r="O83" s="7">
        <v>18.8</v>
      </c>
      <c r="P83" s="7">
        <f t="shared" si="1"/>
        <v>0.60000000000000142</v>
      </c>
      <c r="Q83" s="17">
        <v>137.45990779846545</v>
      </c>
      <c r="R83" s="14">
        <v>143</v>
      </c>
      <c r="S83" s="7">
        <v>5.5400922015345486</v>
      </c>
      <c r="T83" s="8" t="s">
        <v>909</v>
      </c>
    </row>
    <row r="84" spans="1:20">
      <c r="A84" s="5" t="s">
        <v>178</v>
      </c>
      <c r="B84" s="5" t="s">
        <v>179</v>
      </c>
      <c r="C84" s="5" t="s">
        <v>18</v>
      </c>
      <c r="D84" s="5">
        <v>3</v>
      </c>
      <c r="E84" s="6" t="s">
        <v>114</v>
      </c>
      <c r="F84" s="10">
        <v>800</v>
      </c>
      <c r="G84" s="7">
        <v>15.311085300004551</v>
      </c>
      <c r="H84" s="7">
        <v>18.093295613000517</v>
      </c>
      <c r="I84" s="7">
        <v>19.975187975651632</v>
      </c>
      <c r="J84" s="7">
        <v>22.374841920506718</v>
      </c>
      <c r="K84" s="7">
        <v>24.215447841537834</v>
      </c>
      <c r="L84" s="7">
        <v>26.184078281300476</v>
      </c>
      <c r="M84" s="7">
        <v>11.305970866463714</v>
      </c>
      <c r="N84" s="7">
        <v>16.3</v>
      </c>
      <c r="O84" s="7">
        <v>16.600000000000001</v>
      </c>
      <c r="P84" s="7">
        <f t="shared" si="1"/>
        <v>0.30000000000000071</v>
      </c>
      <c r="Q84" s="17">
        <v>137.45990779846545</v>
      </c>
      <c r="R84" s="14">
        <v>128</v>
      </c>
      <c r="S84" s="7">
        <v>-9.4599077984654514</v>
      </c>
      <c r="T84" s="8" t="s">
        <v>910</v>
      </c>
    </row>
    <row r="85" spans="1:20">
      <c r="A85" s="5" t="s">
        <v>180</v>
      </c>
      <c r="B85" s="5" t="s">
        <v>181</v>
      </c>
      <c r="C85" s="5" t="s">
        <v>18</v>
      </c>
      <c r="D85" s="5">
        <v>4</v>
      </c>
      <c r="E85" s="6" t="s">
        <v>114</v>
      </c>
      <c r="F85" s="10">
        <v>800</v>
      </c>
      <c r="G85" s="7">
        <v>15.156427872731776</v>
      </c>
      <c r="H85" s="7">
        <v>17.910535051253042</v>
      </c>
      <c r="I85" s="7">
        <v>19.773418400140002</v>
      </c>
      <c r="J85" s="7">
        <v>22.14883341625918</v>
      </c>
      <c r="K85" s="7">
        <v>23.97084735828998</v>
      </c>
      <c r="L85" s="7">
        <v>25.91959264209542</v>
      </c>
      <c r="M85" s="7">
        <v>11.191769140539838</v>
      </c>
      <c r="N85" s="7">
        <v>23.7</v>
      </c>
      <c r="O85" s="7">
        <v>13.4</v>
      </c>
      <c r="P85" s="7">
        <f t="shared" si="1"/>
        <v>-10.299999999999999</v>
      </c>
      <c r="Q85" s="17">
        <v>136.07142388130924</v>
      </c>
      <c r="R85" s="14">
        <v>151</v>
      </c>
      <c r="S85" s="7">
        <v>14.928576118690756</v>
      </c>
      <c r="T85" s="8" t="s">
        <v>909</v>
      </c>
    </row>
    <row r="86" spans="1:20">
      <c r="A86" s="5" t="s">
        <v>182</v>
      </c>
      <c r="B86" s="5" t="s">
        <v>183</v>
      </c>
      <c r="C86" s="5" t="s">
        <v>18</v>
      </c>
      <c r="D86" s="5">
        <v>1</v>
      </c>
      <c r="E86" s="6" t="s">
        <v>114</v>
      </c>
      <c r="F86" s="10">
        <v>800</v>
      </c>
      <c r="G86" s="7">
        <v>15.001770445459004</v>
      </c>
      <c r="H86" s="7">
        <v>17.72777448950556</v>
      </c>
      <c r="I86" s="7">
        <v>19.571648824628369</v>
      </c>
      <c r="J86" s="7">
        <v>21.922824912011635</v>
      </c>
      <c r="K86" s="7">
        <v>23.726246875042118</v>
      </c>
      <c r="L86" s="7">
        <v>25.655107002890361</v>
      </c>
      <c r="M86" s="7">
        <v>11.077567414615961</v>
      </c>
      <c r="N86" s="7">
        <v>13.8</v>
      </c>
      <c r="O86" s="7">
        <v>19</v>
      </c>
      <c r="P86" s="7">
        <f t="shared" si="1"/>
        <v>5.1999999999999993</v>
      </c>
      <c r="Q86" s="17">
        <v>134.68293996415301</v>
      </c>
      <c r="R86" s="14">
        <v>119</v>
      </c>
      <c r="S86" s="7">
        <v>-15.682939964153007</v>
      </c>
      <c r="T86" s="8" t="s">
        <v>910</v>
      </c>
    </row>
    <row r="87" spans="1:20">
      <c r="A87" s="5" t="s">
        <v>184</v>
      </c>
      <c r="B87" s="5" t="s">
        <v>185</v>
      </c>
      <c r="C87" s="5" t="s">
        <v>18</v>
      </c>
      <c r="D87" s="5">
        <v>1</v>
      </c>
      <c r="E87" s="6" t="s">
        <v>114</v>
      </c>
      <c r="F87" s="10">
        <v>800</v>
      </c>
      <c r="G87" s="7">
        <v>15.001770445459004</v>
      </c>
      <c r="H87" s="7">
        <v>17.72777448950556</v>
      </c>
      <c r="I87" s="7">
        <v>19.571648824628369</v>
      </c>
      <c r="J87" s="7">
        <v>21.922824912011635</v>
      </c>
      <c r="K87" s="7">
        <v>23.726246875042118</v>
      </c>
      <c r="L87" s="7">
        <v>25.655107002890361</v>
      </c>
      <c r="M87" s="7">
        <v>11.077567414615961</v>
      </c>
      <c r="N87" s="7">
        <v>20.399999999999999</v>
      </c>
      <c r="O87" s="7">
        <v>18.600000000000001</v>
      </c>
      <c r="P87" s="7">
        <f t="shared" si="1"/>
        <v>-1.7999999999999972</v>
      </c>
      <c r="Q87" s="17">
        <v>134.68293996415301</v>
      </c>
      <c r="R87" s="14">
        <v>110</v>
      </c>
      <c r="S87" s="7">
        <v>-24.682939964153007</v>
      </c>
      <c r="T87" s="8" t="s">
        <v>910</v>
      </c>
    </row>
    <row r="88" spans="1:20">
      <c r="A88" s="5" t="s">
        <v>186</v>
      </c>
      <c r="B88" s="5" t="s">
        <v>187</v>
      </c>
      <c r="C88" s="5" t="s">
        <v>18</v>
      </c>
      <c r="D88" s="5">
        <v>3</v>
      </c>
      <c r="E88" s="6" t="s">
        <v>114</v>
      </c>
      <c r="F88" s="10">
        <v>800</v>
      </c>
      <c r="G88" s="7">
        <v>15.001770445459004</v>
      </c>
      <c r="H88" s="7">
        <v>17.72777448950556</v>
      </c>
      <c r="I88" s="7">
        <v>19.571648824628369</v>
      </c>
      <c r="J88" s="7">
        <v>21.922824912011635</v>
      </c>
      <c r="K88" s="7">
        <v>23.726246875042118</v>
      </c>
      <c r="L88" s="7">
        <v>25.655107002890361</v>
      </c>
      <c r="M88" s="7">
        <v>11.077567414615961</v>
      </c>
      <c r="N88" s="7">
        <v>18.2</v>
      </c>
      <c r="O88" s="7">
        <v>14.6</v>
      </c>
      <c r="P88" s="7">
        <f t="shared" si="1"/>
        <v>-3.5999999999999996</v>
      </c>
      <c r="Q88" s="17">
        <v>134.68293996415301</v>
      </c>
      <c r="R88" s="14">
        <v>109</v>
      </c>
      <c r="S88" s="7">
        <v>-25.682939964153007</v>
      </c>
      <c r="T88" s="8" t="s">
        <v>910</v>
      </c>
    </row>
    <row r="89" spans="1:20">
      <c r="A89" s="5" t="s">
        <v>188</v>
      </c>
      <c r="B89" s="5" t="s">
        <v>189</v>
      </c>
      <c r="C89" s="5" t="s">
        <v>18</v>
      </c>
      <c r="D89" s="5">
        <v>1</v>
      </c>
      <c r="E89" s="6" t="s">
        <v>114</v>
      </c>
      <c r="F89" s="10">
        <v>800</v>
      </c>
      <c r="G89" s="7">
        <v>15.001770445459004</v>
      </c>
      <c r="H89" s="7">
        <v>17.72777448950556</v>
      </c>
      <c r="I89" s="7">
        <v>19.571648824628369</v>
      </c>
      <c r="J89" s="7">
        <v>21.922824912011635</v>
      </c>
      <c r="K89" s="7">
        <v>23.726246875042118</v>
      </c>
      <c r="L89" s="7">
        <v>25.655107002890361</v>
      </c>
      <c r="M89" s="7">
        <v>11.077567414615961</v>
      </c>
      <c r="N89" s="7">
        <v>12.9</v>
      </c>
      <c r="O89" s="7">
        <v>18</v>
      </c>
      <c r="P89" s="7">
        <f t="shared" si="1"/>
        <v>5.0999999999999996</v>
      </c>
      <c r="Q89" s="17">
        <v>134.68293996415301</v>
      </c>
      <c r="R89" s="14">
        <v>134</v>
      </c>
      <c r="S89" s="7">
        <v>-0.68293996415300739</v>
      </c>
      <c r="T89" s="8" t="s">
        <v>910</v>
      </c>
    </row>
    <row r="90" spans="1:20">
      <c r="A90" s="5" t="s">
        <v>190</v>
      </c>
      <c r="B90" s="5" t="s">
        <v>191</v>
      </c>
      <c r="C90" s="5" t="s">
        <v>18</v>
      </c>
      <c r="D90" s="5">
        <v>2</v>
      </c>
      <c r="E90" s="6" t="s">
        <v>114</v>
      </c>
      <c r="F90" s="10">
        <v>800</v>
      </c>
      <c r="G90" s="7">
        <v>14.84711301818623</v>
      </c>
      <c r="H90" s="7">
        <v>17.545013927758077</v>
      </c>
      <c r="I90" s="7">
        <v>19.369879249116732</v>
      </c>
      <c r="J90" s="7">
        <v>21.696816407764089</v>
      </c>
      <c r="K90" s="7">
        <v>23.481646391794261</v>
      </c>
      <c r="L90" s="7">
        <v>25.390621363685305</v>
      </c>
      <c r="M90" s="7">
        <v>10.963365688692083</v>
      </c>
      <c r="N90" s="7">
        <v>23.7</v>
      </c>
      <c r="O90" s="7">
        <v>28</v>
      </c>
      <c r="P90" s="7">
        <f t="shared" si="1"/>
        <v>4.3000000000000007</v>
      </c>
      <c r="Q90" s="17">
        <v>133.29445604699677</v>
      </c>
      <c r="R90" s="14">
        <v>205</v>
      </c>
      <c r="S90" s="7">
        <v>71.705543953003229</v>
      </c>
      <c r="T90" s="8" t="s">
        <v>909</v>
      </c>
    </row>
    <row r="91" spans="1:20">
      <c r="A91" s="5" t="s">
        <v>192</v>
      </c>
      <c r="B91" s="5" t="s">
        <v>193</v>
      </c>
      <c r="C91" s="5" t="s">
        <v>18</v>
      </c>
      <c r="D91" s="5">
        <v>1</v>
      </c>
      <c r="E91" s="6" t="s">
        <v>114</v>
      </c>
      <c r="F91" s="10">
        <v>800</v>
      </c>
      <c r="G91" s="7">
        <v>14.84711301818623</v>
      </c>
      <c r="H91" s="7">
        <v>17.545013927758077</v>
      </c>
      <c r="I91" s="7">
        <v>19.369879249116732</v>
      </c>
      <c r="J91" s="7">
        <v>21.696816407764089</v>
      </c>
      <c r="K91" s="7">
        <v>23.481646391794261</v>
      </c>
      <c r="L91" s="7">
        <v>25.390621363685305</v>
      </c>
      <c r="M91" s="7">
        <v>10.963365688692083</v>
      </c>
      <c r="N91" s="7">
        <v>8.9</v>
      </c>
      <c r="O91" s="7">
        <v>17.8</v>
      </c>
      <c r="P91" s="7">
        <f t="shared" si="1"/>
        <v>8.9</v>
      </c>
      <c r="Q91" s="17">
        <v>133.29445604699677</v>
      </c>
      <c r="R91" s="14">
        <v>122</v>
      </c>
      <c r="S91" s="7">
        <v>-11.294456046996771</v>
      </c>
      <c r="T91" s="8" t="s">
        <v>910</v>
      </c>
    </row>
    <row r="92" spans="1:20">
      <c r="A92" s="5" t="s">
        <v>194</v>
      </c>
      <c r="B92" s="5" t="s">
        <v>195</v>
      </c>
      <c r="C92" s="5" t="s">
        <v>18</v>
      </c>
      <c r="D92" s="5">
        <v>1</v>
      </c>
      <c r="E92" s="6" t="s">
        <v>114</v>
      </c>
      <c r="F92" s="10">
        <v>800</v>
      </c>
      <c r="G92" s="7">
        <v>14.692455590913456</v>
      </c>
      <c r="H92" s="7">
        <v>17.362253366010599</v>
      </c>
      <c r="I92" s="7">
        <v>19.168109673605102</v>
      </c>
      <c r="J92" s="7">
        <v>21.470807903516548</v>
      </c>
      <c r="K92" s="7">
        <v>23.237045908546406</v>
      </c>
      <c r="L92" s="7">
        <v>25.12613572448025</v>
      </c>
      <c r="M92" s="7">
        <v>10.849163962768209</v>
      </c>
      <c r="N92" s="7">
        <v>9.8000000000000007</v>
      </c>
      <c r="O92" s="7">
        <v>19.600000000000001</v>
      </c>
      <c r="P92" s="7">
        <f t="shared" si="1"/>
        <v>9.8000000000000007</v>
      </c>
      <c r="Q92" s="17">
        <v>131.90597212984056</v>
      </c>
      <c r="R92" s="14">
        <v>140</v>
      </c>
      <c r="S92" s="7">
        <v>8.0940278701594366</v>
      </c>
      <c r="T92" s="8" t="s">
        <v>909</v>
      </c>
    </row>
    <row r="93" spans="1:20">
      <c r="A93" s="5" t="s">
        <v>196</v>
      </c>
      <c r="B93" s="5" t="s">
        <v>197</v>
      </c>
      <c r="C93" s="5" t="s">
        <v>18</v>
      </c>
      <c r="D93" s="5">
        <v>2</v>
      </c>
      <c r="E93" s="6" t="s">
        <v>114</v>
      </c>
      <c r="F93" s="10">
        <v>800</v>
      </c>
      <c r="G93" s="7">
        <v>14.692455590913456</v>
      </c>
      <c r="H93" s="7">
        <v>17.362253366010599</v>
      </c>
      <c r="I93" s="7">
        <v>19.168109673605102</v>
      </c>
      <c r="J93" s="7">
        <v>21.470807903516548</v>
      </c>
      <c r="K93" s="7">
        <v>23.237045908546406</v>
      </c>
      <c r="L93" s="7">
        <v>25.12613572448025</v>
      </c>
      <c r="M93" s="7">
        <v>10.849163962768209</v>
      </c>
      <c r="N93" s="7">
        <v>14.1</v>
      </c>
      <c r="O93" s="7">
        <v>14.4</v>
      </c>
      <c r="P93" s="7">
        <f t="shared" si="1"/>
        <v>0.30000000000000071</v>
      </c>
      <c r="Q93" s="17">
        <v>131.90597212984056</v>
      </c>
      <c r="R93" s="14">
        <v>100</v>
      </c>
      <c r="S93" s="7">
        <v>-31.905972129840563</v>
      </c>
      <c r="T93" s="8" t="s">
        <v>910</v>
      </c>
    </row>
    <row r="94" spans="1:20">
      <c r="A94" s="5" t="s">
        <v>198</v>
      </c>
      <c r="B94" s="5" t="s">
        <v>199</v>
      </c>
      <c r="C94" s="5" t="s">
        <v>18</v>
      </c>
      <c r="D94" s="5">
        <v>1</v>
      </c>
      <c r="E94" s="6" t="s">
        <v>114</v>
      </c>
      <c r="F94" s="10">
        <v>800</v>
      </c>
      <c r="G94" s="7">
        <v>14.692455590913456</v>
      </c>
      <c r="H94" s="7">
        <v>17.362253366010599</v>
      </c>
      <c r="I94" s="7">
        <v>19.168109673605102</v>
      </c>
      <c r="J94" s="7">
        <v>21.470807903516548</v>
      </c>
      <c r="K94" s="7">
        <v>23.237045908546406</v>
      </c>
      <c r="L94" s="7">
        <v>25.12613572448025</v>
      </c>
      <c r="M94" s="7">
        <v>10.849163962768209</v>
      </c>
      <c r="N94" s="7">
        <v>21.9</v>
      </c>
      <c r="O94" s="7">
        <v>14.6</v>
      </c>
      <c r="P94" s="7">
        <f t="shared" si="1"/>
        <v>-7.2999999999999989</v>
      </c>
      <c r="Q94" s="17">
        <v>131.90597212984056</v>
      </c>
      <c r="R94" s="14">
        <v>113</v>
      </c>
      <c r="S94" s="7">
        <v>-18.905972129840563</v>
      </c>
      <c r="T94" s="8" t="s">
        <v>910</v>
      </c>
    </row>
    <row r="95" spans="1:20">
      <c r="A95" s="5" t="s">
        <v>200</v>
      </c>
      <c r="B95" s="5" t="s">
        <v>201</v>
      </c>
      <c r="C95" s="5" t="s">
        <v>18</v>
      </c>
      <c r="D95" s="5">
        <v>1</v>
      </c>
      <c r="E95" s="6" t="s">
        <v>114</v>
      </c>
      <c r="F95" s="10">
        <v>800</v>
      </c>
      <c r="G95" s="7">
        <v>14.692455590913456</v>
      </c>
      <c r="H95" s="7">
        <v>17.362253366010599</v>
      </c>
      <c r="I95" s="7">
        <v>19.168109673605102</v>
      </c>
      <c r="J95" s="7">
        <v>21.470807903516548</v>
      </c>
      <c r="K95" s="7">
        <v>23.237045908546406</v>
      </c>
      <c r="L95" s="7">
        <v>25.12613572448025</v>
      </c>
      <c r="M95" s="7">
        <v>10.849163962768209</v>
      </c>
      <c r="N95" s="7">
        <v>17.7</v>
      </c>
      <c r="O95" s="7">
        <v>20.399999999999999</v>
      </c>
      <c r="P95" s="7">
        <f t="shared" si="1"/>
        <v>2.6999999999999993</v>
      </c>
      <c r="Q95" s="17">
        <v>131.90597212984056</v>
      </c>
      <c r="R95" s="14">
        <v>142</v>
      </c>
      <c r="S95" s="7">
        <v>10.094027870159437</v>
      </c>
      <c r="T95" s="8" t="s">
        <v>909</v>
      </c>
    </row>
    <row r="96" spans="1:20">
      <c r="A96" s="5" t="s">
        <v>202</v>
      </c>
      <c r="B96" s="5" t="s">
        <v>203</v>
      </c>
      <c r="C96" s="5" t="s">
        <v>18</v>
      </c>
      <c r="D96" s="5">
        <v>3</v>
      </c>
      <c r="E96" s="6" t="s">
        <v>114</v>
      </c>
      <c r="F96" s="10">
        <v>800</v>
      </c>
      <c r="G96" s="7">
        <v>14.537798163640682</v>
      </c>
      <c r="H96" s="7">
        <v>17.17949280426312</v>
      </c>
      <c r="I96" s="7">
        <v>18.966340098093468</v>
      </c>
      <c r="J96" s="7">
        <v>21.244799399269002</v>
      </c>
      <c r="K96" s="7">
        <v>22.992445425298548</v>
      </c>
      <c r="L96" s="7">
        <v>24.861650085275194</v>
      </c>
      <c r="M96" s="7">
        <v>10.734962236844332</v>
      </c>
      <c r="N96" s="7">
        <v>21.8</v>
      </c>
      <c r="O96" s="7">
        <v>16.399999999999999</v>
      </c>
      <c r="P96" s="7">
        <f t="shared" si="1"/>
        <v>-5.4000000000000021</v>
      </c>
      <c r="Q96" s="17">
        <v>130.51748821268433</v>
      </c>
      <c r="R96" s="14">
        <v>111</v>
      </c>
      <c r="S96" s="7">
        <v>-19.517488212684327</v>
      </c>
      <c r="T96" s="8" t="s">
        <v>910</v>
      </c>
    </row>
    <row r="97" spans="1:20">
      <c r="A97" s="5" t="s">
        <v>204</v>
      </c>
      <c r="B97" s="5" t="s">
        <v>205</v>
      </c>
      <c r="C97" s="5" t="s">
        <v>18</v>
      </c>
      <c r="D97" s="5">
        <v>2</v>
      </c>
      <c r="E97" s="6" t="s">
        <v>114</v>
      </c>
      <c r="F97" s="10">
        <v>800</v>
      </c>
      <c r="G97" s="7">
        <v>14.228483309095138</v>
      </c>
      <c r="H97" s="7">
        <v>16.813971680768159</v>
      </c>
      <c r="I97" s="7">
        <v>18.562800947070208</v>
      </c>
      <c r="J97" s="7">
        <v>20.792782390773919</v>
      </c>
      <c r="K97" s="7">
        <v>22.503244458802836</v>
      </c>
      <c r="L97" s="7">
        <v>24.332678806865086</v>
      </c>
      <c r="M97" s="7">
        <v>10.506558784996582</v>
      </c>
      <c r="N97" s="7">
        <v>8.9</v>
      </c>
      <c r="O97" s="7">
        <v>21.2</v>
      </c>
      <c r="P97" s="7">
        <f t="shared" si="1"/>
        <v>12.299999999999999</v>
      </c>
      <c r="Q97" s="17">
        <v>127.74052037837194</v>
      </c>
      <c r="R97" s="14">
        <v>151</v>
      </c>
      <c r="S97" s="7">
        <v>23.25947962162806</v>
      </c>
      <c r="T97" s="8" t="s">
        <v>909</v>
      </c>
    </row>
    <row r="98" spans="1:20">
      <c r="A98" s="5" t="s">
        <v>206</v>
      </c>
      <c r="B98" s="5" t="s">
        <v>207</v>
      </c>
      <c r="C98" s="5" t="s">
        <v>18</v>
      </c>
      <c r="D98" s="5">
        <v>1</v>
      </c>
      <c r="E98" s="6" t="s">
        <v>114</v>
      </c>
      <c r="F98" s="10">
        <v>800</v>
      </c>
      <c r="G98" s="7">
        <v>14.228483309095138</v>
      </c>
      <c r="H98" s="7">
        <v>16.813971680768159</v>
      </c>
      <c r="I98" s="7">
        <v>18.562800947070208</v>
      </c>
      <c r="J98" s="7">
        <v>20.792782390773919</v>
      </c>
      <c r="K98" s="7">
        <v>22.503244458802836</v>
      </c>
      <c r="L98" s="7">
        <v>24.332678806865086</v>
      </c>
      <c r="M98" s="7">
        <v>10.506558784996582</v>
      </c>
      <c r="N98" s="7">
        <v>14.9</v>
      </c>
      <c r="O98" s="7">
        <v>17.399999999999999</v>
      </c>
      <c r="P98" s="7">
        <f t="shared" si="1"/>
        <v>2.4999999999999982</v>
      </c>
      <c r="Q98" s="17">
        <v>127.74052037837194</v>
      </c>
      <c r="R98" s="14">
        <v>107</v>
      </c>
      <c r="S98" s="7">
        <v>-20.74052037837194</v>
      </c>
      <c r="T98" s="8" t="s">
        <v>910</v>
      </c>
    </row>
    <row r="99" spans="1:20">
      <c r="A99" s="5" t="s">
        <v>208</v>
      </c>
      <c r="B99" s="5" t="s">
        <v>209</v>
      </c>
      <c r="C99" s="5" t="s">
        <v>18</v>
      </c>
      <c r="D99" s="5">
        <v>2</v>
      </c>
      <c r="E99" s="6" t="s">
        <v>114</v>
      </c>
      <c r="F99" s="10">
        <v>800</v>
      </c>
      <c r="G99" s="7">
        <v>14.228483309095138</v>
      </c>
      <c r="H99" s="7">
        <v>16.813971680768159</v>
      </c>
      <c r="I99" s="7">
        <v>18.562800947070208</v>
      </c>
      <c r="J99" s="7">
        <v>20.792782390773919</v>
      </c>
      <c r="K99" s="7">
        <v>22.503244458802836</v>
      </c>
      <c r="L99" s="7">
        <v>24.332678806865086</v>
      </c>
      <c r="M99" s="7">
        <v>10.506558784996582</v>
      </c>
      <c r="N99" s="7">
        <v>19.3</v>
      </c>
      <c r="O99" s="7">
        <v>16.399999999999999</v>
      </c>
      <c r="P99" s="7">
        <f t="shared" si="1"/>
        <v>-2.9000000000000021</v>
      </c>
      <c r="Q99" s="17">
        <v>127.74052037837194</v>
      </c>
      <c r="R99" s="14">
        <v>161</v>
      </c>
      <c r="S99" s="7">
        <v>33.25947962162806</v>
      </c>
      <c r="T99" s="8" t="s">
        <v>909</v>
      </c>
    </row>
    <row r="100" spans="1:20">
      <c r="A100" s="5" t="s">
        <v>210</v>
      </c>
      <c r="B100" s="5" t="s">
        <v>211</v>
      </c>
      <c r="C100" s="5" t="s">
        <v>18</v>
      </c>
      <c r="D100" s="5">
        <v>1</v>
      </c>
      <c r="E100" s="6" t="s">
        <v>114</v>
      </c>
      <c r="F100" s="10">
        <v>800</v>
      </c>
      <c r="G100" s="7">
        <v>14.073825881822364</v>
      </c>
      <c r="H100" s="7">
        <v>16.631211119020683</v>
      </c>
      <c r="I100" s="7">
        <v>18.361031371558575</v>
      </c>
      <c r="J100" s="7">
        <v>20.566773886526381</v>
      </c>
      <c r="K100" s="7">
        <v>22.258643975554982</v>
      </c>
      <c r="L100" s="7">
        <v>24.068193167660034</v>
      </c>
      <c r="M100" s="7">
        <v>10.392357059072708</v>
      </c>
      <c r="N100" s="7">
        <v>17.8</v>
      </c>
      <c r="O100" s="7">
        <v>20</v>
      </c>
      <c r="P100" s="7">
        <f t="shared" si="1"/>
        <v>2.1999999999999993</v>
      </c>
      <c r="Q100" s="17">
        <v>126.35203646121573</v>
      </c>
      <c r="R100" s="14">
        <v>117</v>
      </c>
      <c r="S100" s="7">
        <v>-9.3520364612157323</v>
      </c>
      <c r="T100" s="8" t="s">
        <v>910</v>
      </c>
    </row>
    <row r="101" spans="1:20">
      <c r="A101" s="5" t="s">
        <v>212</v>
      </c>
      <c r="B101" s="5" t="s">
        <v>213</v>
      </c>
      <c r="C101" s="5" t="s">
        <v>18</v>
      </c>
      <c r="D101" s="5">
        <v>1</v>
      </c>
      <c r="E101" s="6" t="s">
        <v>114</v>
      </c>
      <c r="F101" s="10">
        <v>800</v>
      </c>
      <c r="G101" s="7">
        <v>14.073825881822364</v>
      </c>
      <c r="H101" s="7">
        <v>16.631211119020683</v>
      </c>
      <c r="I101" s="7">
        <v>18.361031371558575</v>
      </c>
      <c r="J101" s="7">
        <v>20.566773886526381</v>
      </c>
      <c r="K101" s="7">
        <v>22.258643975554982</v>
      </c>
      <c r="L101" s="7">
        <v>24.068193167660034</v>
      </c>
      <c r="M101" s="7">
        <v>10.392357059072708</v>
      </c>
      <c r="N101" s="7">
        <v>9.6999999999999993</v>
      </c>
      <c r="O101" s="7">
        <v>24.2</v>
      </c>
      <c r="P101" s="7">
        <f t="shared" si="1"/>
        <v>14.5</v>
      </c>
      <c r="Q101" s="17">
        <v>126.35203646121573</v>
      </c>
      <c r="R101" s="14">
        <v>140</v>
      </c>
      <c r="S101" s="7">
        <v>13.647963538784268</v>
      </c>
      <c r="T101" s="8" t="s">
        <v>909</v>
      </c>
    </row>
    <row r="102" spans="1:20">
      <c r="A102" s="5" t="s">
        <v>214</v>
      </c>
      <c r="B102" s="5" t="s">
        <v>215</v>
      </c>
      <c r="C102" s="5" t="s">
        <v>18</v>
      </c>
      <c r="D102" s="5">
        <v>3</v>
      </c>
      <c r="E102" s="6" t="s">
        <v>114</v>
      </c>
      <c r="F102" s="10">
        <v>800</v>
      </c>
      <c r="G102" s="7">
        <v>14.073825881822364</v>
      </c>
      <c r="H102" s="7">
        <v>16.631211119020683</v>
      </c>
      <c r="I102" s="7">
        <v>18.361031371558575</v>
      </c>
      <c r="J102" s="7">
        <v>20.566773886526381</v>
      </c>
      <c r="K102" s="7">
        <v>22.258643975554982</v>
      </c>
      <c r="L102" s="7">
        <v>24.068193167660034</v>
      </c>
      <c r="M102" s="7">
        <v>10.392357059072708</v>
      </c>
      <c r="N102" s="7">
        <v>16.100000000000001</v>
      </c>
      <c r="O102" s="7">
        <v>12.8</v>
      </c>
      <c r="P102" s="7">
        <f t="shared" si="1"/>
        <v>-3.3000000000000007</v>
      </c>
      <c r="Q102" s="17">
        <v>126.35203646121573</v>
      </c>
      <c r="R102" s="14">
        <v>102</v>
      </c>
      <c r="S102" s="7">
        <v>-24.352036461215732</v>
      </c>
      <c r="T102" s="8" t="s">
        <v>910</v>
      </c>
    </row>
    <row r="103" spans="1:20">
      <c r="A103" s="5" t="s">
        <v>216</v>
      </c>
      <c r="B103" s="5" t="s">
        <v>217</v>
      </c>
      <c r="C103" s="5" t="s">
        <v>18</v>
      </c>
      <c r="D103" s="5">
        <v>4</v>
      </c>
      <c r="E103" s="6" t="s">
        <v>114</v>
      </c>
      <c r="F103" s="10">
        <v>800</v>
      </c>
      <c r="G103" s="7">
        <v>13.919168454549592</v>
      </c>
      <c r="H103" s="7">
        <v>16.448450557273201</v>
      </c>
      <c r="I103" s="7">
        <v>18.159261796046941</v>
      </c>
      <c r="J103" s="7">
        <v>20.340765382278835</v>
      </c>
      <c r="K103" s="7">
        <v>22.014043492307124</v>
      </c>
      <c r="L103" s="7">
        <v>23.803707528454975</v>
      </c>
      <c r="M103" s="7">
        <v>10.278155333148829</v>
      </c>
      <c r="N103" s="7">
        <v>14.1</v>
      </c>
      <c r="O103" s="7">
        <v>10.199999999999999</v>
      </c>
      <c r="P103" s="7">
        <f t="shared" si="1"/>
        <v>-3.9000000000000004</v>
      </c>
      <c r="Q103" s="17">
        <v>124.9635525440595</v>
      </c>
      <c r="R103" s="14">
        <v>89</v>
      </c>
      <c r="S103" s="7">
        <v>-35.963552544059496</v>
      </c>
      <c r="T103" s="8" t="s">
        <v>910</v>
      </c>
    </row>
    <row r="104" spans="1:20">
      <c r="A104" s="5" t="s">
        <v>218</v>
      </c>
      <c r="B104" s="5" t="s">
        <v>219</v>
      </c>
      <c r="C104" s="5" t="s">
        <v>18</v>
      </c>
      <c r="D104" s="5">
        <v>2</v>
      </c>
      <c r="E104" s="6" t="s">
        <v>114</v>
      </c>
      <c r="F104" s="10">
        <v>800</v>
      </c>
      <c r="G104" s="7">
        <v>13.764511027276818</v>
      </c>
      <c r="H104" s="7">
        <v>16.265689995525722</v>
      </c>
      <c r="I104" s="7">
        <v>17.957492220535311</v>
      </c>
      <c r="J104" s="7">
        <v>20.114756878031294</v>
      </c>
      <c r="K104" s="7">
        <v>21.769443009059266</v>
      </c>
      <c r="L104" s="7">
        <v>23.539221889249923</v>
      </c>
      <c r="M104" s="7">
        <v>10.163953607224954</v>
      </c>
      <c r="N104" s="7">
        <v>20.9</v>
      </c>
      <c r="O104" s="7">
        <v>22.6</v>
      </c>
      <c r="P104" s="7">
        <f t="shared" si="1"/>
        <v>1.7000000000000028</v>
      </c>
      <c r="Q104" s="17">
        <v>123.57506862690329</v>
      </c>
      <c r="R104" s="14">
        <v>152</v>
      </c>
      <c r="S104" s="7">
        <v>28.424931373096712</v>
      </c>
      <c r="T104" s="8" t="s">
        <v>909</v>
      </c>
    </row>
    <row r="105" spans="1:20">
      <c r="A105" s="5" t="s">
        <v>220</v>
      </c>
      <c r="B105" s="5" t="s">
        <v>221</v>
      </c>
      <c r="C105" s="5" t="s">
        <v>18</v>
      </c>
      <c r="D105" s="5">
        <v>2</v>
      </c>
      <c r="E105" s="6" t="s">
        <v>114</v>
      </c>
      <c r="F105" s="10">
        <v>800</v>
      </c>
      <c r="G105" s="7">
        <v>13.764511027276818</v>
      </c>
      <c r="H105" s="7">
        <v>16.265689995525722</v>
      </c>
      <c r="I105" s="7">
        <v>17.957492220535311</v>
      </c>
      <c r="J105" s="7">
        <v>20.114756878031294</v>
      </c>
      <c r="K105" s="7">
        <v>21.769443009059266</v>
      </c>
      <c r="L105" s="7">
        <v>23.539221889249923</v>
      </c>
      <c r="M105" s="7">
        <v>10.163953607224954</v>
      </c>
      <c r="N105" s="7">
        <v>15.5</v>
      </c>
      <c r="O105" s="7">
        <v>14.4</v>
      </c>
      <c r="P105" s="7">
        <f t="shared" si="1"/>
        <v>-1.0999999999999996</v>
      </c>
      <c r="Q105" s="17">
        <v>123.57506862690329</v>
      </c>
      <c r="R105" s="14">
        <v>96</v>
      </c>
      <c r="S105" s="7">
        <v>-27.575068626903288</v>
      </c>
      <c r="T105" s="8" t="s">
        <v>910</v>
      </c>
    </row>
    <row r="106" spans="1:20">
      <c r="A106" s="5" t="s">
        <v>222</v>
      </c>
      <c r="B106" s="5" t="s">
        <v>223</v>
      </c>
      <c r="C106" s="5" t="s">
        <v>18</v>
      </c>
      <c r="D106" s="5">
        <v>4</v>
      </c>
      <c r="E106" s="6" t="s">
        <v>114</v>
      </c>
      <c r="F106" s="10">
        <v>800</v>
      </c>
      <c r="G106" s="7">
        <v>13.609853600004044</v>
      </c>
      <c r="H106" s="7">
        <v>16.08292943377824</v>
      </c>
      <c r="I106" s="7">
        <v>17.755722645023674</v>
      </c>
      <c r="J106" s="7">
        <v>19.888748373783752</v>
      </c>
      <c r="K106" s="7">
        <v>21.524842525811408</v>
      </c>
      <c r="L106" s="7">
        <v>23.274736250044864</v>
      </c>
      <c r="M106" s="7">
        <v>10.049751881301079</v>
      </c>
      <c r="N106" s="7">
        <v>16.399999999999999</v>
      </c>
      <c r="O106" s="7">
        <v>9.1999999999999993</v>
      </c>
      <c r="P106" s="7">
        <f t="shared" si="1"/>
        <v>-7.1999999999999993</v>
      </c>
      <c r="Q106" s="17">
        <v>122.18658470974707</v>
      </c>
      <c r="R106" s="14">
        <v>66</v>
      </c>
      <c r="S106" s="7">
        <v>-56.186584709747066</v>
      </c>
      <c r="T106" s="8" t="s">
        <v>910</v>
      </c>
    </row>
    <row r="107" spans="1:20">
      <c r="A107" s="5" t="s">
        <v>224</v>
      </c>
      <c r="B107" s="5" t="s">
        <v>225</v>
      </c>
      <c r="C107" s="5" t="s">
        <v>18</v>
      </c>
      <c r="D107" s="5">
        <v>4</v>
      </c>
      <c r="E107" s="6" t="s">
        <v>114</v>
      </c>
      <c r="F107" s="10">
        <v>800</v>
      </c>
      <c r="G107" s="7">
        <v>13.300538745458498</v>
      </c>
      <c r="H107" s="7">
        <v>15.717408310283279</v>
      </c>
      <c r="I107" s="7">
        <v>17.35218349400041</v>
      </c>
      <c r="J107" s="7">
        <v>19.436731365288665</v>
      </c>
      <c r="K107" s="7">
        <v>21.035641559315692</v>
      </c>
      <c r="L107" s="7">
        <v>22.745764971634753</v>
      </c>
      <c r="M107" s="7">
        <v>9.8213484294533266</v>
      </c>
      <c r="N107" s="7">
        <v>17.8</v>
      </c>
      <c r="O107" s="7">
        <v>14.4</v>
      </c>
      <c r="P107" s="7">
        <f t="shared" si="1"/>
        <v>-3.4000000000000004</v>
      </c>
      <c r="Q107" s="17">
        <v>119.40961687543462</v>
      </c>
      <c r="R107" s="14">
        <v>150</v>
      </c>
      <c r="S107" s="7">
        <v>30.590383124565378</v>
      </c>
      <c r="T107" s="8" t="s">
        <v>909</v>
      </c>
    </row>
    <row r="108" spans="1:20">
      <c r="A108" s="5" t="s">
        <v>226</v>
      </c>
      <c r="B108" s="5" t="s">
        <v>227</v>
      </c>
      <c r="C108" s="5" t="s">
        <v>18</v>
      </c>
      <c r="D108" s="5">
        <v>3</v>
      </c>
      <c r="E108" s="6" t="s">
        <v>114</v>
      </c>
      <c r="F108" s="10">
        <v>800</v>
      </c>
      <c r="G108" s="7">
        <v>13.300538745458498</v>
      </c>
      <c r="H108" s="7">
        <v>15.717408310283279</v>
      </c>
      <c r="I108" s="7">
        <v>17.35218349400041</v>
      </c>
      <c r="J108" s="7">
        <v>19.436731365288665</v>
      </c>
      <c r="K108" s="7">
        <v>21.035641559315692</v>
      </c>
      <c r="L108" s="7">
        <v>22.745764971634753</v>
      </c>
      <c r="M108" s="7">
        <v>9.8213484294533266</v>
      </c>
      <c r="N108" s="7">
        <v>20.5</v>
      </c>
      <c r="O108" s="7">
        <v>17.399999999999999</v>
      </c>
      <c r="P108" s="7">
        <f t="shared" si="1"/>
        <v>-3.1000000000000014</v>
      </c>
      <c r="Q108" s="17">
        <v>119.40961687543462</v>
      </c>
      <c r="R108" s="14">
        <v>124</v>
      </c>
      <c r="S108" s="7">
        <v>4.5903831245653777</v>
      </c>
      <c r="T108" s="8" t="s">
        <v>909</v>
      </c>
    </row>
    <row r="109" spans="1:20">
      <c r="A109" s="5" t="s">
        <v>228</v>
      </c>
      <c r="B109" s="5" t="s">
        <v>229</v>
      </c>
      <c r="C109" s="5" t="s">
        <v>18</v>
      </c>
      <c r="D109" s="5">
        <v>2</v>
      </c>
      <c r="E109" s="6" t="s">
        <v>114</v>
      </c>
      <c r="F109" s="10">
        <v>800</v>
      </c>
      <c r="G109" s="7">
        <v>13.145881318185724</v>
      </c>
      <c r="H109" s="7">
        <v>15.534647748535798</v>
      </c>
      <c r="I109" s="7">
        <v>17.150413918488773</v>
      </c>
      <c r="J109" s="7">
        <v>19.21072286104112</v>
      </c>
      <c r="K109" s="7">
        <v>20.791041076067835</v>
      </c>
      <c r="L109" s="7">
        <v>22.481279332429697</v>
      </c>
      <c r="M109" s="7">
        <v>9.7071467035294496</v>
      </c>
      <c r="N109" s="7">
        <v>17.899999999999999</v>
      </c>
      <c r="O109" s="7">
        <v>20.399999999999999</v>
      </c>
      <c r="P109" s="7">
        <f t="shared" si="1"/>
        <v>2.5</v>
      </c>
      <c r="Q109" s="17">
        <v>118.0211329582784</v>
      </c>
      <c r="R109" s="14">
        <v>133</v>
      </c>
      <c r="S109" s="7">
        <v>14.9788670417216</v>
      </c>
      <c r="T109" s="8" t="s">
        <v>909</v>
      </c>
    </row>
    <row r="110" spans="1:20">
      <c r="A110" s="5" t="s">
        <v>230</v>
      </c>
      <c r="B110" s="5" t="s">
        <v>231</v>
      </c>
      <c r="C110" s="5" t="s">
        <v>18</v>
      </c>
      <c r="D110" s="5">
        <v>1</v>
      </c>
      <c r="E110" s="6" t="s">
        <v>114</v>
      </c>
      <c r="F110" s="10">
        <v>800</v>
      </c>
      <c r="G110" s="7">
        <v>12.99122389091295</v>
      </c>
      <c r="H110" s="7">
        <v>15.35188718678832</v>
      </c>
      <c r="I110" s="7">
        <v>16.948644342977143</v>
      </c>
      <c r="J110" s="7">
        <v>18.984714356793578</v>
      </c>
      <c r="K110" s="7">
        <v>20.54644059281998</v>
      </c>
      <c r="L110" s="7">
        <v>22.216793693224645</v>
      </c>
      <c r="M110" s="7">
        <v>9.5929449776055744</v>
      </c>
      <c r="N110" s="7">
        <v>14.9</v>
      </c>
      <c r="O110" s="7">
        <v>16</v>
      </c>
      <c r="P110" s="7">
        <f t="shared" si="1"/>
        <v>1.0999999999999996</v>
      </c>
      <c r="Q110" s="17">
        <v>116.63264904112218</v>
      </c>
      <c r="R110" s="14">
        <v>105</v>
      </c>
      <c r="S110" s="7">
        <v>-11.632649041122178</v>
      </c>
      <c r="T110" s="8" t="s">
        <v>910</v>
      </c>
    </row>
    <row r="111" spans="1:20">
      <c r="A111" s="5" t="s">
        <v>232</v>
      </c>
      <c r="B111" s="5" t="s">
        <v>233</v>
      </c>
      <c r="C111" s="5" t="s">
        <v>18</v>
      </c>
      <c r="D111" s="5">
        <v>3</v>
      </c>
      <c r="E111" s="6" t="s">
        <v>114</v>
      </c>
      <c r="F111" s="10">
        <v>800</v>
      </c>
      <c r="G111" s="7">
        <v>12.99122389091295</v>
      </c>
      <c r="H111" s="7">
        <v>15.35188718678832</v>
      </c>
      <c r="I111" s="7">
        <v>16.948644342977143</v>
      </c>
      <c r="J111" s="7">
        <v>18.984714356793578</v>
      </c>
      <c r="K111" s="7">
        <v>20.54644059281998</v>
      </c>
      <c r="L111" s="7">
        <v>22.216793693224645</v>
      </c>
      <c r="M111" s="7">
        <v>9.5929449776055744</v>
      </c>
      <c r="N111" s="7">
        <v>15</v>
      </c>
      <c r="O111" s="7">
        <v>15.2</v>
      </c>
      <c r="P111" s="7">
        <f t="shared" si="1"/>
        <v>0.19999999999999929</v>
      </c>
      <c r="Q111" s="17">
        <v>116.63264904112218</v>
      </c>
      <c r="R111" s="14">
        <v>113</v>
      </c>
      <c r="S111" s="7">
        <v>-3.6326490411221783</v>
      </c>
      <c r="T111" s="8" t="s">
        <v>910</v>
      </c>
    </row>
    <row r="112" spans="1:20">
      <c r="A112" s="5" t="s">
        <v>234</v>
      </c>
      <c r="B112" s="5" t="s">
        <v>235</v>
      </c>
      <c r="C112" s="5" t="s">
        <v>18</v>
      </c>
      <c r="D112" s="5">
        <v>4</v>
      </c>
      <c r="E112" s="6" t="s">
        <v>114</v>
      </c>
      <c r="F112" s="10">
        <v>800</v>
      </c>
      <c r="G112" s="7">
        <v>12.99122389091295</v>
      </c>
      <c r="H112" s="7">
        <v>15.35188718678832</v>
      </c>
      <c r="I112" s="7">
        <v>16.948644342977143</v>
      </c>
      <c r="J112" s="7">
        <v>18.984714356793578</v>
      </c>
      <c r="K112" s="7">
        <v>20.54644059281998</v>
      </c>
      <c r="L112" s="7">
        <v>22.216793693224645</v>
      </c>
      <c r="M112" s="7">
        <v>9.5929449776055744</v>
      </c>
      <c r="N112" s="7">
        <v>17.5</v>
      </c>
      <c r="O112" s="7">
        <v>13.2</v>
      </c>
      <c r="P112" s="7">
        <f t="shared" si="1"/>
        <v>-4.3000000000000007</v>
      </c>
      <c r="Q112" s="17">
        <v>116.63264904112218</v>
      </c>
      <c r="R112" s="14">
        <v>95</v>
      </c>
      <c r="S112" s="7">
        <v>-21.632649041122178</v>
      </c>
      <c r="T112" s="8" t="s">
        <v>910</v>
      </c>
    </row>
    <row r="113" spans="1:20">
      <c r="A113" s="5" t="s">
        <v>236</v>
      </c>
      <c r="B113" s="5" t="s">
        <v>237</v>
      </c>
      <c r="C113" s="5" t="s">
        <v>18</v>
      </c>
      <c r="D113" s="5">
        <v>1</v>
      </c>
      <c r="E113" s="6" t="s">
        <v>114</v>
      </c>
      <c r="F113" s="10">
        <v>800</v>
      </c>
      <c r="G113" s="7">
        <v>12.836566463640178</v>
      </c>
      <c r="H113" s="7">
        <v>15.169126625040839</v>
      </c>
      <c r="I113" s="7">
        <v>16.746874767465513</v>
      </c>
      <c r="J113" s="7">
        <v>18.75870585254604</v>
      </c>
      <c r="K113" s="7">
        <v>20.301840109572122</v>
      </c>
      <c r="L113" s="7">
        <v>21.952308054019589</v>
      </c>
      <c r="M113" s="7">
        <v>9.4787432516816974</v>
      </c>
      <c r="N113" s="7">
        <v>18.2</v>
      </c>
      <c r="O113" s="7">
        <v>26</v>
      </c>
      <c r="P113" s="7">
        <f t="shared" si="1"/>
        <v>7.8000000000000007</v>
      </c>
      <c r="Q113" s="17">
        <v>115.24416512396598</v>
      </c>
      <c r="R113" s="14">
        <v>164</v>
      </c>
      <c r="S113" s="7">
        <v>48.755834876034015</v>
      </c>
      <c r="T113" s="8" t="s">
        <v>909</v>
      </c>
    </row>
    <row r="114" spans="1:20">
      <c r="A114" s="5" t="s">
        <v>238</v>
      </c>
      <c r="B114" s="5" t="s">
        <v>239</v>
      </c>
      <c r="C114" s="5" t="s">
        <v>18</v>
      </c>
      <c r="D114" s="5">
        <v>3</v>
      </c>
      <c r="E114" s="6" t="s">
        <v>114</v>
      </c>
      <c r="F114" s="10">
        <v>800</v>
      </c>
      <c r="G114" s="7">
        <v>12.836566463640178</v>
      </c>
      <c r="H114" s="7">
        <v>15.169126625040839</v>
      </c>
      <c r="I114" s="7">
        <v>16.746874767465513</v>
      </c>
      <c r="J114" s="7">
        <v>18.75870585254604</v>
      </c>
      <c r="K114" s="7">
        <v>20.301840109572122</v>
      </c>
      <c r="L114" s="7">
        <v>21.952308054019589</v>
      </c>
      <c r="M114" s="7">
        <v>9.4787432516816974</v>
      </c>
      <c r="N114" s="7">
        <v>12.1</v>
      </c>
      <c r="O114" s="7">
        <v>11.4</v>
      </c>
      <c r="P114" s="7">
        <f t="shared" si="1"/>
        <v>-0.69999999999999929</v>
      </c>
      <c r="Q114" s="17">
        <v>115.24416512396598</v>
      </c>
      <c r="R114" s="14">
        <v>93</v>
      </c>
      <c r="S114" s="7">
        <v>-22.244165123965985</v>
      </c>
      <c r="T114" s="8" t="s">
        <v>910</v>
      </c>
    </row>
    <row r="115" spans="1:20">
      <c r="A115" s="5" t="s">
        <v>240</v>
      </c>
      <c r="B115" s="5" t="s">
        <v>241</v>
      </c>
      <c r="C115" s="5" t="s">
        <v>18</v>
      </c>
      <c r="D115" s="5">
        <v>0</v>
      </c>
      <c r="E115" s="6" t="s">
        <v>114</v>
      </c>
      <c r="F115" s="10">
        <v>800</v>
      </c>
      <c r="G115" s="7">
        <v>12.836566463640178</v>
      </c>
      <c r="H115" s="7">
        <v>15.169126625040839</v>
      </c>
      <c r="I115" s="7">
        <v>16.746874767465513</v>
      </c>
      <c r="J115" s="7">
        <v>18.75870585254604</v>
      </c>
      <c r="K115" s="7">
        <v>20.301840109572122</v>
      </c>
      <c r="L115" s="7">
        <v>21.952308054019589</v>
      </c>
      <c r="M115" s="7">
        <v>9.4787432516816974</v>
      </c>
      <c r="N115" s="7">
        <v>15.6</v>
      </c>
      <c r="O115" s="7">
        <v>18.8</v>
      </c>
      <c r="P115" s="7">
        <f t="shared" si="1"/>
        <v>3.2000000000000011</v>
      </c>
      <c r="Q115" s="17">
        <v>115.24416512396598</v>
      </c>
      <c r="R115" s="14">
        <v>138</v>
      </c>
      <c r="S115" s="7">
        <v>22.755834876034015</v>
      </c>
      <c r="T115" s="8" t="s">
        <v>909</v>
      </c>
    </row>
    <row r="116" spans="1:20">
      <c r="A116" s="5" t="s">
        <v>242</v>
      </c>
      <c r="B116" s="5" t="s">
        <v>243</v>
      </c>
      <c r="C116" s="5" t="s">
        <v>18</v>
      </c>
      <c r="D116" s="5">
        <v>3</v>
      </c>
      <c r="E116" s="6" t="s">
        <v>114</v>
      </c>
      <c r="F116" s="10">
        <v>800</v>
      </c>
      <c r="G116" s="7">
        <v>12.836566463640178</v>
      </c>
      <c r="H116" s="7">
        <v>15.169126625040839</v>
      </c>
      <c r="I116" s="7">
        <v>16.746874767465513</v>
      </c>
      <c r="J116" s="7">
        <v>18.75870585254604</v>
      </c>
      <c r="K116" s="7">
        <v>20.301840109572122</v>
      </c>
      <c r="L116" s="7">
        <v>21.952308054019589</v>
      </c>
      <c r="M116" s="7">
        <v>9.4787432516816974</v>
      </c>
      <c r="N116" s="7">
        <v>12.2</v>
      </c>
      <c r="O116" s="7">
        <v>9.6</v>
      </c>
      <c r="P116" s="7">
        <f t="shared" si="1"/>
        <v>-2.5999999999999996</v>
      </c>
      <c r="Q116" s="17">
        <v>115.24416512396598</v>
      </c>
      <c r="R116" s="14">
        <v>78</v>
      </c>
      <c r="S116" s="7">
        <v>-37.244165123965985</v>
      </c>
      <c r="T116" s="8" t="s">
        <v>910</v>
      </c>
    </row>
    <row r="117" spans="1:20">
      <c r="A117" s="5" t="s">
        <v>244</v>
      </c>
      <c r="B117" s="5" t="s">
        <v>245</v>
      </c>
      <c r="C117" s="5" t="s">
        <v>18</v>
      </c>
      <c r="D117" s="5">
        <v>1</v>
      </c>
      <c r="E117" s="6" t="s">
        <v>114</v>
      </c>
      <c r="F117" s="10">
        <v>800</v>
      </c>
      <c r="G117" s="7">
        <v>12.681909036367406</v>
      </c>
      <c r="H117" s="7">
        <v>14.986366063293362</v>
      </c>
      <c r="I117" s="7">
        <v>16.54510519195388</v>
      </c>
      <c r="J117" s="7">
        <v>18.532697348298495</v>
      </c>
      <c r="K117" s="7">
        <v>20.057239626324268</v>
      </c>
      <c r="L117" s="7">
        <v>21.687822414814537</v>
      </c>
      <c r="M117" s="7">
        <v>9.3645415257578257</v>
      </c>
      <c r="N117" s="7">
        <v>17.7</v>
      </c>
      <c r="O117" s="7">
        <v>19</v>
      </c>
      <c r="P117" s="7">
        <f t="shared" si="1"/>
        <v>1.3000000000000007</v>
      </c>
      <c r="Q117" s="17">
        <v>113.85568120680976</v>
      </c>
      <c r="R117" s="14">
        <v>137</v>
      </c>
      <c r="S117" s="7">
        <v>23.144318793190237</v>
      </c>
      <c r="T117" s="8" t="s">
        <v>909</v>
      </c>
    </row>
    <row r="118" spans="1:20">
      <c r="A118" s="5" t="s">
        <v>246</v>
      </c>
      <c r="B118" s="5" t="s">
        <v>247</v>
      </c>
      <c r="C118" s="5" t="s">
        <v>18</v>
      </c>
      <c r="D118" s="5">
        <v>3</v>
      </c>
      <c r="E118" s="6" t="s">
        <v>114</v>
      </c>
      <c r="F118" s="10">
        <v>800</v>
      </c>
      <c r="G118" s="7">
        <v>12.52725160909463</v>
      </c>
      <c r="H118" s="7">
        <v>14.80360550154588</v>
      </c>
      <c r="I118" s="7">
        <v>16.343335616442246</v>
      </c>
      <c r="J118" s="7">
        <v>18.306688844050953</v>
      </c>
      <c r="K118" s="7">
        <v>19.81263914307641</v>
      </c>
      <c r="L118" s="7">
        <v>21.423336775609478</v>
      </c>
      <c r="M118" s="7">
        <v>9.2503397998339469</v>
      </c>
      <c r="N118" s="7">
        <v>23.9</v>
      </c>
      <c r="O118" s="7">
        <v>32.799999999999997</v>
      </c>
      <c r="P118" s="7">
        <f t="shared" si="1"/>
        <v>8.8999999999999986</v>
      </c>
      <c r="Q118" s="17">
        <v>112.46719728965356</v>
      </c>
      <c r="R118" s="14">
        <v>209</v>
      </c>
      <c r="S118" s="7">
        <v>96.532802710346445</v>
      </c>
      <c r="T118" s="8" t="s">
        <v>909</v>
      </c>
    </row>
    <row r="119" spans="1:20">
      <c r="A119" s="5" t="s">
        <v>248</v>
      </c>
      <c r="B119" s="5" t="s">
        <v>249</v>
      </c>
      <c r="C119" s="5" t="s">
        <v>18</v>
      </c>
      <c r="D119" s="5">
        <v>1</v>
      </c>
      <c r="E119" s="6" t="s">
        <v>114</v>
      </c>
      <c r="F119" s="10">
        <v>800</v>
      </c>
      <c r="G119" s="7">
        <v>12.52725160909463</v>
      </c>
      <c r="H119" s="7">
        <v>14.80360550154588</v>
      </c>
      <c r="I119" s="7">
        <v>16.343335616442246</v>
      </c>
      <c r="J119" s="7">
        <v>18.306688844050953</v>
      </c>
      <c r="K119" s="7">
        <v>19.81263914307641</v>
      </c>
      <c r="L119" s="7">
        <v>21.423336775609478</v>
      </c>
      <c r="M119" s="7">
        <v>9.2503397998339469</v>
      </c>
      <c r="N119" s="7">
        <v>13.8</v>
      </c>
      <c r="O119" s="7">
        <v>21.4</v>
      </c>
      <c r="P119" s="7">
        <f t="shared" si="1"/>
        <v>7.5999999999999979</v>
      </c>
      <c r="Q119" s="17">
        <v>112.46719728965356</v>
      </c>
      <c r="R119" s="14">
        <v>146</v>
      </c>
      <c r="S119" s="7">
        <v>33.532802710346445</v>
      </c>
      <c r="T119" s="8" t="s">
        <v>909</v>
      </c>
    </row>
    <row r="120" spans="1:20">
      <c r="A120" s="5" t="s">
        <v>250</v>
      </c>
      <c r="B120" s="5" t="s">
        <v>251</v>
      </c>
      <c r="C120" s="5" t="s">
        <v>18</v>
      </c>
      <c r="D120" s="5">
        <v>3</v>
      </c>
      <c r="E120" s="6" t="s">
        <v>114</v>
      </c>
      <c r="F120" s="10">
        <v>800</v>
      </c>
      <c r="G120" s="7">
        <v>12.372594181821858</v>
      </c>
      <c r="H120" s="7">
        <v>14.620844939798401</v>
      </c>
      <c r="I120" s="7">
        <v>16.141566040930613</v>
      </c>
      <c r="J120" s="7">
        <v>18.080680339803408</v>
      </c>
      <c r="K120" s="7">
        <v>19.568038659828556</v>
      </c>
      <c r="L120" s="7">
        <v>21.158851136404426</v>
      </c>
      <c r="M120" s="7">
        <v>9.1361380739100717</v>
      </c>
      <c r="N120" s="7">
        <v>16.7</v>
      </c>
      <c r="O120" s="7">
        <v>16.8</v>
      </c>
      <c r="P120" s="7">
        <f t="shared" si="1"/>
        <v>0.10000000000000142</v>
      </c>
      <c r="Q120" s="17">
        <v>111.07871337249733</v>
      </c>
      <c r="R120" s="14">
        <v>117</v>
      </c>
      <c r="S120" s="7">
        <v>5.921286627502667</v>
      </c>
      <c r="T120" s="8" t="s">
        <v>909</v>
      </c>
    </row>
    <row r="121" spans="1:20">
      <c r="A121" s="5" t="s">
        <v>252</v>
      </c>
      <c r="B121" s="5" t="s">
        <v>253</v>
      </c>
      <c r="C121" s="5" t="s">
        <v>18</v>
      </c>
      <c r="D121" s="5">
        <v>2</v>
      </c>
      <c r="E121" s="6" t="s">
        <v>114</v>
      </c>
      <c r="F121" s="10">
        <v>800</v>
      </c>
      <c r="G121" s="7">
        <v>12.217936754549086</v>
      </c>
      <c r="H121" s="7">
        <v>14.438084378050918</v>
      </c>
      <c r="I121" s="7">
        <v>15.939796465418981</v>
      </c>
      <c r="J121" s="7">
        <v>17.854671835555866</v>
      </c>
      <c r="K121" s="7">
        <v>19.323438176580694</v>
      </c>
      <c r="L121" s="7">
        <v>20.894365497199367</v>
      </c>
      <c r="M121" s="7">
        <v>9.0219363479861965</v>
      </c>
      <c r="N121" s="7">
        <v>18.3</v>
      </c>
      <c r="O121" s="7">
        <v>21</v>
      </c>
      <c r="P121" s="7">
        <f t="shared" si="1"/>
        <v>2.6999999999999993</v>
      </c>
      <c r="Q121" s="17">
        <v>109.69022945534111</v>
      </c>
      <c r="R121" s="14">
        <v>142</v>
      </c>
      <c r="S121" s="7">
        <v>32.309770544658889</v>
      </c>
      <c r="T121" s="8" t="s">
        <v>909</v>
      </c>
    </row>
    <row r="122" spans="1:20">
      <c r="A122" s="5" t="s">
        <v>254</v>
      </c>
      <c r="B122" s="5" t="s">
        <v>255</v>
      </c>
      <c r="C122" s="5" t="s">
        <v>18</v>
      </c>
      <c r="D122" s="5">
        <v>2</v>
      </c>
      <c r="E122" s="6" t="s">
        <v>114</v>
      </c>
      <c r="F122" s="10">
        <v>800</v>
      </c>
      <c r="G122" s="7">
        <v>12.217936754549086</v>
      </c>
      <c r="H122" s="7">
        <v>14.438084378050918</v>
      </c>
      <c r="I122" s="7">
        <v>15.939796465418981</v>
      </c>
      <c r="J122" s="7">
        <v>17.854671835555866</v>
      </c>
      <c r="K122" s="7">
        <v>19.323438176580694</v>
      </c>
      <c r="L122" s="7">
        <v>20.894365497199367</v>
      </c>
      <c r="M122" s="7">
        <v>9.0219363479861965</v>
      </c>
      <c r="N122" s="7">
        <v>14.1</v>
      </c>
      <c r="O122" s="7">
        <v>13.4</v>
      </c>
      <c r="P122" s="7">
        <f t="shared" si="1"/>
        <v>-0.69999999999999929</v>
      </c>
      <c r="Q122" s="17">
        <v>109.69022945534111</v>
      </c>
      <c r="R122" s="14">
        <v>95</v>
      </c>
      <c r="S122" s="7">
        <v>-14.690229455341111</v>
      </c>
      <c r="T122" s="8" t="s">
        <v>910</v>
      </c>
    </row>
    <row r="123" spans="1:20">
      <c r="A123" s="5" t="s">
        <v>256</v>
      </c>
      <c r="B123" s="5" t="s">
        <v>257</v>
      </c>
      <c r="C123" s="5" t="s">
        <v>18</v>
      </c>
      <c r="D123" s="5">
        <v>3</v>
      </c>
      <c r="E123" s="6" t="s">
        <v>114</v>
      </c>
      <c r="F123" s="10">
        <v>800</v>
      </c>
      <c r="G123" s="7">
        <v>12.217936754549086</v>
      </c>
      <c r="H123" s="7">
        <v>14.438084378050918</v>
      </c>
      <c r="I123" s="7">
        <v>15.939796465418981</v>
      </c>
      <c r="J123" s="7">
        <v>17.854671835555866</v>
      </c>
      <c r="K123" s="7">
        <v>19.323438176580694</v>
      </c>
      <c r="L123" s="7">
        <v>20.894365497199367</v>
      </c>
      <c r="M123" s="7">
        <v>9.0219363479861965</v>
      </c>
      <c r="N123" s="7">
        <v>14.6</v>
      </c>
      <c r="O123" s="7">
        <v>14.6</v>
      </c>
      <c r="P123" s="7">
        <f t="shared" si="1"/>
        <v>0</v>
      </c>
      <c r="Q123" s="17">
        <v>109.69022945534111</v>
      </c>
      <c r="R123" s="14">
        <v>98</v>
      </c>
      <c r="S123" s="7">
        <v>-11.690229455341111</v>
      </c>
      <c r="T123" s="8" t="s">
        <v>910</v>
      </c>
    </row>
    <row r="124" spans="1:20">
      <c r="A124" s="5" t="s">
        <v>258</v>
      </c>
      <c r="B124" s="5" t="s">
        <v>259</v>
      </c>
      <c r="C124" s="5" t="s">
        <v>67</v>
      </c>
      <c r="D124" s="5">
        <v>1</v>
      </c>
      <c r="E124" s="6" t="s">
        <v>114</v>
      </c>
      <c r="F124" s="10">
        <v>800</v>
      </c>
      <c r="G124" s="7">
        <v>12.217936754549086</v>
      </c>
      <c r="H124" s="7">
        <v>14.438084378050918</v>
      </c>
      <c r="I124" s="7">
        <v>15.939796465418981</v>
      </c>
      <c r="J124" s="7">
        <v>17.854671835555866</v>
      </c>
      <c r="K124" s="7">
        <v>19.323438176580694</v>
      </c>
      <c r="L124" s="7">
        <v>20.894365497199367</v>
      </c>
      <c r="M124" s="7">
        <v>9.0219363479861965</v>
      </c>
      <c r="N124" s="7">
        <v>13</v>
      </c>
      <c r="O124" s="7">
        <v>16</v>
      </c>
      <c r="P124" s="7">
        <f t="shared" si="1"/>
        <v>3</v>
      </c>
      <c r="Q124" s="17">
        <v>109.69022945534111</v>
      </c>
      <c r="R124" s="14">
        <v>133</v>
      </c>
      <c r="S124" s="7">
        <v>23.309770544658889</v>
      </c>
      <c r="T124" s="8" t="s">
        <v>909</v>
      </c>
    </row>
    <row r="125" spans="1:20">
      <c r="A125" s="5" t="s">
        <v>260</v>
      </c>
      <c r="B125" s="5" t="s">
        <v>261</v>
      </c>
      <c r="C125" s="5" t="s">
        <v>18</v>
      </c>
      <c r="D125" s="5">
        <v>4</v>
      </c>
      <c r="E125" s="6" t="s">
        <v>114</v>
      </c>
      <c r="F125" s="10">
        <v>800</v>
      </c>
      <c r="G125" s="7">
        <v>12.217936754549086</v>
      </c>
      <c r="H125" s="7">
        <v>14.438084378050918</v>
      </c>
      <c r="I125" s="7">
        <v>15.939796465418981</v>
      </c>
      <c r="J125" s="7">
        <v>17.854671835555866</v>
      </c>
      <c r="K125" s="7">
        <v>19.323438176580694</v>
      </c>
      <c r="L125" s="7">
        <v>20.894365497199367</v>
      </c>
      <c r="M125" s="7">
        <v>9.0219363479861965</v>
      </c>
      <c r="N125" s="7">
        <v>17</v>
      </c>
      <c r="O125" s="7">
        <v>7.2</v>
      </c>
      <c r="P125" s="7">
        <f t="shared" si="1"/>
        <v>-9.8000000000000007</v>
      </c>
      <c r="Q125" s="17">
        <v>109.69022945534111</v>
      </c>
      <c r="R125" s="14">
        <v>53</v>
      </c>
      <c r="S125" s="7">
        <v>-56.690229455341111</v>
      </c>
      <c r="T125" s="8" t="s">
        <v>910</v>
      </c>
    </row>
    <row r="126" spans="1:20">
      <c r="A126" s="5" t="s">
        <v>262</v>
      </c>
      <c r="B126" s="5" t="s">
        <v>263</v>
      </c>
      <c r="C126" s="5" t="s">
        <v>18</v>
      </c>
      <c r="D126" s="5">
        <v>3</v>
      </c>
      <c r="E126" s="6" t="s">
        <v>114</v>
      </c>
      <c r="F126" s="10">
        <v>800</v>
      </c>
      <c r="G126" s="7">
        <v>12.217936754549086</v>
      </c>
      <c r="H126" s="7">
        <v>14.438084378050918</v>
      </c>
      <c r="I126" s="7">
        <v>15.939796465418981</v>
      </c>
      <c r="J126" s="7">
        <v>17.854671835555866</v>
      </c>
      <c r="K126" s="7">
        <v>19.323438176580694</v>
      </c>
      <c r="L126" s="7">
        <v>20.894365497199367</v>
      </c>
      <c r="M126" s="7">
        <v>9.0219363479861965</v>
      </c>
      <c r="N126" s="7">
        <v>16</v>
      </c>
      <c r="O126" s="7">
        <v>15.2</v>
      </c>
      <c r="P126" s="7">
        <f t="shared" si="1"/>
        <v>-0.80000000000000071</v>
      </c>
      <c r="Q126" s="17">
        <v>109.69022945534111</v>
      </c>
      <c r="R126" s="14">
        <v>104</v>
      </c>
      <c r="S126" s="7">
        <v>-5.690229455341111</v>
      </c>
      <c r="T126" s="8" t="s">
        <v>910</v>
      </c>
    </row>
    <row r="127" spans="1:20">
      <c r="A127" s="5" t="s">
        <v>264</v>
      </c>
      <c r="B127" s="5" t="s">
        <v>265</v>
      </c>
      <c r="C127" s="5" t="s">
        <v>18</v>
      </c>
      <c r="D127" s="5">
        <v>1</v>
      </c>
      <c r="E127" s="6" t="s">
        <v>266</v>
      </c>
      <c r="F127" s="10">
        <v>700</v>
      </c>
      <c r="G127" s="7">
        <v>12.063279327276312</v>
      </c>
      <c r="H127" s="7">
        <v>14.25532381630344</v>
      </c>
      <c r="I127" s="7">
        <v>15.738026889907349</v>
      </c>
      <c r="J127" s="7">
        <v>17.628663331308324</v>
      </c>
      <c r="K127" s="7">
        <v>19.07883769333284</v>
      </c>
      <c r="L127" s="7">
        <v>20.629879857994315</v>
      </c>
      <c r="M127" s="7">
        <v>8.9077346220623177</v>
      </c>
      <c r="N127" s="7">
        <v>11.4</v>
      </c>
      <c r="O127" s="7">
        <v>12.4</v>
      </c>
      <c r="P127" s="7">
        <f t="shared" si="1"/>
        <v>1</v>
      </c>
      <c r="Q127" s="17">
        <v>108.30174553818489</v>
      </c>
      <c r="R127" s="14">
        <v>88</v>
      </c>
      <c r="S127" s="7">
        <v>-20.301745538184889</v>
      </c>
      <c r="T127" s="8" t="s">
        <v>910</v>
      </c>
    </row>
    <row r="128" spans="1:20">
      <c r="A128" s="5" t="s">
        <v>267</v>
      </c>
      <c r="B128" s="5" t="s">
        <v>268</v>
      </c>
      <c r="C128" s="5" t="s">
        <v>18</v>
      </c>
      <c r="D128" s="5">
        <v>2</v>
      </c>
      <c r="E128" s="6" t="s">
        <v>266</v>
      </c>
      <c r="F128" s="10">
        <v>700</v>
      </c>
      <c r="G128" s="7">
        <v>12.063279327276312</v>
      </c>
      <c r="H128" s="7">
        <v>14.25532381630344</v>
      </c>
      <c r="I128" s="7">
        <v>15.738026889907349</v>
      </c>
      <c r="J128" s="7">
        <v>17.628663331308324</v>
      </c>
      <c r="K128" s="7">
        <v>19.07883769333284</v>
      </c>
      <c r="L128" s="7">
        <v>20.629879857994315</v>
      </c>
      <c r="M128" s="7">
        <v>8.9077346220623177</v>
      </c>
      <c r="N128" s="7">
        <v>15.5</v>
      </c>
      <c r="O128" s="7">
        <v>15</v>
      </c>
      <c r="P128" s="7">
        <f t="shared" si="1"/>
        <v>-0.5</v>
      </c>
      <c r="Q128" s="17">
        <v>108.30174553818489</v>
      </c>
      <c r="R128" s="14">
        <v>108</v>
      </c>
      <c r="S128" s="7">
        <v>-0.30174553818488903</v>
      </c>
      <c r="T128" s="8" t="s">
        <v>910</v>
      </c>
    </row>
    <row r="129" spans="1:20">
      <c r="A129" s="5" t="s">
        <v>269</v>
      </c>
      <c r="B129" s="5" t="s">
        <v>270</v>
      </c>
      <c r="C129" s="5" t="s">
        <v>18</v>
      </c>
      <c r="D129" s="5">
        <v>1</v>
      </c>
      <c r="E129" s="6" t="s">
        <v>266</v>
      </c>
      <c r="F129" s="10">
        <v>700</v>
      </c>
      <c r="G129" s="7">
        <v>12.063279327276312</v>
      </c>
      <c r="H129" s="7">
        <v>14.25532381630344</v>
      </c>
      <c r="I129" s="7">
        <v>15.738026889907349</v>
      </c>
      <c r="J129" s="7">
        <v>17.628663331308324</v>
      </c>
      <c r="K129" s="7">
        <v>19.07883769333284</v>
      </c>
      <c r="L129" s="7">
        <v>20.629879857994315</v>
      </c>
      <c r="M129" s="7">
        <v>8.9077346220623177</v>
      </c>
      <c r="N129" s="7">
        <v>15.2</v>
      </c>
      <c r="O129" s="7">
        <v>13.6</v>
      </c>
      <c r="P129" s="7">
        <f t="shared" si="1"/>
        <v>-1.5999999999999996</v>
      </c>
      <c r="Q129" s="17">
        <v>108.30174553818489</v>
      </c>
      <c r="R129" s="14">
        <v>94</v>
      </c>
      <c r="S129" s="7">
        <v>-14.301745538184889</v>
      </c>
      <c r="T129" s="8" t="s">
        <v>910</v>
      </c>
    </row>
    <row r="130" spans="1:20">
      <c r="A130" s="5" t="s">
        <v>271</v>
      </c>
      <c r="B130" s="5" t="s">
        <v>272</v>
      </c>
      <c r="C130" s="5" t="s">
        <v>18</v>
      </c>
      <c r="D130" s="5">
        <v>3</v>
      </c>
      <c r="E130" s="6" t="s">
        <v>266</v>
      </c>
      <c r="F130" s="10">
        <v>700</v>
      </c>
      <c r="G130" s="7">
        <v>12.063279327276312</v>
      </c>
      <c r="H130" s="7">
        <v>14.25532381630344</v>
      </c>
      <c r="I130" s="7">
        <v>15.738026889907349</v>
      </c>
      <c r="J130" s="7">
        <v>17.628663331308324</v>
      </c>
      <c r="K130" s="7">
        <v>19.07883769333284</v>
      </c>
      <c r="L130" s="7">
        <v>20.629879857994315</v>
      </c>
      <c r="M130" s="7">
        <v>8.9077346220623177</v>
      </c>
      <c r="N130" s="7">
        <v>11.7</v>
      </c>
      <c r="O130" s="7">
        <v>13.8</v>
      </c>
      <c r="P130" s="7">
        <f t="shared" si="1"/>
        <v>2.1000000000000014</v>
      </c>
      <c r="Q130" s="17">
        <v>108.30174553818489</v>
      </c>
      <c r="R130" s="14">
        <v>89</v>
      </c>
      <c r="S130" s="7">
        <v>-19.301745538184889</v>
      </c>
      <c r="T130" s="8" t="s">
        <v>910</v>
      </c>
    </row>
    <row r="131" spans="1:20">
      <c r="A131" s="5" t="s">
        <v>273</v>
      </c>
      <c r="B131" s="5" t="s">
        <v>274</v>
      </c>
      <c r="C131" s="5" t="s">
        <v>18</v>
      </c>
      <c r="D131" s="5">
        <v>2</v>
      </c>
      <c r="E131" s="6" t="s">
        <v>266</v>
      </c>
      <c r="F131" s="10">
        <v>700</v>
      </c>
      <c r="G131" s="7">
        <v>12.063279327276312</v>
      </c>
      <c r="H131" s="7">
        <v>14.25532381630344</v>
      </c>
      <c r="I131" s="7">
        <v>15.738026889907349</v>
      </c>
      <c r="J131" s="7">
        <v>17.628663331308324</v>
      </c>
      <c r="K131" s="7">
        <v>19.07883769333284</v>
      </c>
      <c r="L131" s="7">
        <v>20.629879857994315</v>
      </c>
      <c r="M131" s="7">
        <v>8.9077346220623177</v>
      </c>
      <c r="N131" s="7">
        <v>18</v>
      </c>
      <c r="O131" s="7">
        <v>22</v>
      </c>
      <c r="P131" s="7">
        <f t="shared" si="1"/>
        <v>4</v>
      </c>
      <c r="Q131" s="17">
        <v>108.30174553818489</v>
      </c>
      <c r="R131" s="14">
        <v>144</v>
      </c>
      <c r="S131" s="7">
        <v>35.698254461815111</v>
      </c>
      <c r="T131" s="8" t="s">
        <v>909</v>
      </c>
    </row>
    <row r="132" spans="1:20">
      <c r="A132" s="5" t="s">
        <v>275</v>
      </c>
      <c r="B132" s="5" t="s">
        <v>276</v>
      </c>
      <c r="C132" s="5" t="s">
        <v>18</v>
      </c>
      <c r="D132" s="5">
        <v>1</v>
      </c>
      <c r="E132" s="6" t="s">
        <v>266</v>
      </c>
      <c r="F132" s="10">
        <v>700</v>
      </c>
      <c r="G132" s="7">
        <v>11.908621900003538</v>
      </c>
      <c r="H132" s="7">
        <v>14.072563254555959</v>
      </c>
      <c r="I132" s="7">
        <v>15.536257314395714</v>
      </c>
      <c r="J132" s="7">
        <v>17.402654827060779</v>
      </c>
      <c r="K132" s="7">
        <v>18.834237210084979</v>
      </c>
      <c r="L132" s="7">
        <v>20.365394218789259</v>
      </c>
      <c r="M132" s="7">
        <v>8.7935328961384442</v>
      </c>
      <c r="N132" s="7">
        <v>12.8</v>
      </c>
      <c r="O132" s="7">
        <v>16.8</v>
      </c>
      <c r="P132" s="7">
        <f t="shared" si="1"/>
        <v>4</v>
      </c>
      <c r="Q132" s="17">
        <v>106.91326162102868</v>
      </c>
      <c r="R132" s="14">
        <v>115</v>
      </c>
      <c r="S132" s="7">
        <v>8.0867383789713188</v>
      </c>
      <c r="T132" s="8" t="s">
        <v>909</v>
      </c>
    </row>
    <row r="133" spans="1:20">
      <c r="A133" s="5" t="s">
        <v>277</v>
      </c>
      <c r="B133" s="5" t="s">
        <v>278</v>
      </c>
      <c r="C133" s="5" t="s">
        <v>18</v>
      </c>
      <c r="D133" s="5">
        <v>3</v>
      </c>
      <c r="E133" s="6" t="s">
        <v>266</v>
      </c>
      <c r="F133" s="10">
        <v>700</v>
      </c>
      <c r="G133" s="7">
        <v>11.908621900003538</v>
      </c>
      <c r="H133" s="7">
        <v>14.072563254555959</v>
      </c>
      <c r="I133" s="7">
        <v>15.536257314395714</v>
      </c>
      <c r="J133" s="7">
        <v>17.402654827060779</v>
      </c>
      <c r="K133" s="7">
        <v>18.834237210084979</v>
      </c>
      <c r="L133" s="7">
        <v>20.365394218789259</v>
      </c>
      <c r="M133" s="7">
        <v>8.7935328961384442</v>
      </c>
      <c r="N133" s="7">
        <v>16.3</v>
      </c>
      <c r="O133" s="7">
        <v>17.8</v>
      </c>
      <c r="P133" s="7">
        <f t="shared" ref="P133:P196" si="2">O133-N133</f>
        <v>1.5</v>
      </c>
      <c r="Q133" s="17">
        <v>106.91326162102868</v>
      </c>
      <c r="R133" s="14">
        <v>117</v>
      </c>
      <c r="S133" s="7">
        <v>10.086738378971319</v>
      </c>
      <c r="T133" s="8" t="s">
        <v>909</v>
      </c>
    </row>
    <row r="134" spans="1:20">
      <c r="A134" s="5" t="s">
        <v>279</v>
      </c>
      <c r="B134" s="5" t="s">
        <v>280</v>
      </c>
      <c r="C134" s="5" t="s">
        <v>18</v>
      </c>
      <c r="D134" s="5">
        <v>2</v>
      </c>
      <c r="E134" s="6" t="s">
        <v>266</v>
      </c>
      <c r="F134" s="10">
        <v>700</v>
      </c>
      <c r="G134" s="7">
        <v>11.908621900003538</v>
      </c>
      <c r="H134" s="7">
        <v>14.072563254555959</v>
      </c>
      <c r="I134" s="7">
        <v>15.536257314395714</v>
      </c>
      <c r="J134" s="7">
        <v>17.402654827060779</v>
      </c>
      <c r="K134" s="7">
        <v>18.834237210084979</v>
      </c>
      <c r="L134" s="7">
        <v>20.365394218789259</v>
      </c>
      <c r="M134" s="7">
        <v>8.7935328961384442</v>
      </c>
      <c r="N134" s="7">
        <v>17</v>
      </c>
      <c r="O134" s="7">
        <v>20.2</v>
      </c>
      <c r="P134" s="7">
        <f t="shared" si="2"/>
        <v>3.1999999999999993</v>
      </c>
      <c r="Q134" s="17">
        <v>106.91326162102868</v>
      </c>
      <c r="R134" s="14">
        <v>130</v>
      </c>
      <c r="S134" s="7">
        <v>23.086738378971319</v>
      </c>
      <c r="T134" s="8" t="s">
        <v>909</v>
      </c>
    </row>
    <row r="135" spans="1:20">
      <c r="A135" s="5" t="s">
        <v>281</v>
      </c>
      <c r="B135" s="5" t="s">
        <v>282</v>
      </c>
      <c r="C135" s="5" t="s">
        <v>18</v>
      </c>
      <c r="D135" s="5">
        <v>1</v>
      </c>
      <c r="E135" s="6" t="s">
        <v>266</v>
      </c>
      <c r="F135" s="10">
        <v>700</v>
      </c>
      <c r="G135" s="7">
        <v>11.908621900003538</v>
      </c>
      <c r="H135" s="7">
        <v>14.072563254555959</v>
      </c>
      <c r="I135" s="7">
        <v>15.536257314395714</v>
      </c>
      <c r="J135" s="7">
        <v>17.402654827060779</v>
      </c>
      <c r="K135" s="7">
        <v>18.834237210084979</v>
      </c>
      <c r="L135" s="7">
        <v>20.365394218789259</v>
      </c>
      <c r="M135" s="7">
        <v>8.7935328961384442</v>
      </c>
      <c r="N135" s="7">
        <v>14.1</v>
      </c>
      <c r="O135" s="7">
        <v>15.6</v>
      </c>
      <c r="P135" s="7">
        <f t="shared" si="2"/>
        <v>1.5</v>
      </c>
      <c r="Q135" s="17">
        <v>106.91326162102868</v>
      </c>
      <c r="R135" s="14">
        <v>114</v>
      </c>
      <c r="S135" s="7">
        <v>7.0867383789713188</v>
      </c>
      <c r="T135" s="8" t="s">
        <v>909</v>
      </c>
    </row>
    <row r="136" spans="1:20">
      <c r="A136" s="5" t="s">
        <v>283</v>
      </c>
      <c r="B136" s="5" t="s">
        <v>284</v>
      </c>
      <c r="C136" s="5" t="s">
        <v>18</v>
      </c>
      <c r="D136" s="5">
        <v>3</v>
      </c>
      <c r="E136" s="6" t="s">
        <v>266</v>
      </c>
      <c r="F136" s="10">
        <v>700</v>
      </c>
      <c r="G136" s="7">
        <v>11.753964472730765</v>
      </c>
      <c r="H136" s="7">
        <v>13.88980269280848</v>
      </c>
      <c r="I136" s="7">
        <v>15.334487738884082</v>
      </c>
      <c r="J136" s="7">
        <v>17.176646322813241</v>
      </c>
      <c r="K136" s="7">
        <v>18.589636726837128</v>
      </c>
      <c r="L136" s="7">
        <v>20.1009085795842</v>
      </c>
      <c r="M136" s="7">
        <v>8.679331170214569</v>
      </c>
      <c r="N136" s="7">
        <v>15.7</v>
      </c>
      <c r="O136" s="7">
        <v>21</v>
      </c>
      <c r="P136" s="7">
        <f t="shared" si="2"/>
        <v>5.3000000000000007</v>
      </c>
      <c r="Q136" s="17">
        <v>105.52477770387246</v>
      </c>
      <c r="R136" s="14">
        <v>130</v>
      </c>
      <c r="S136" s="7">
        <v>24.475222296127541</v>
      </c>
      <c r="T136" s="8" t="s">
        <v>909</v>
      </c>
    </row>
    <row r="137" spans="1:20">
      <c r="A137" s="5" t="s">
        <v>285</v>
      </c>
      <c r="B137" s="5" t="s">
        <v>286</v>
      </c>
      <c r="C137" s="5" t="s">
        <v>18</v>
      </c>
      <c r="D137" s="5">
        <v>3</v>
      </c>
      <c r="E137" s="6" t="s">
        <v>266</v>
      </c>
      <c r="F137" s="10">
        <v>700</v>
      </c>
      <c r="G137" s="7">
        <v>11.753964472730765</v>
      </c>
      <c r="H137" s="7">
        <v>13.88980269280848</v>
      </c>
      <c r="I137" s="7">
        <v>15.334487738884082</v>
      </c>
      <c r="J137" s="7">
        <v>17.176646322813241</v>
      </c>
      <c r="K137" s="7">
        <v>18.589636726837128</v>
      </c>
      <c r="L137" s="7">
        <v>20.1009085795842</v>
      </c>
      <c r="M137" s="7">
        <v>8.679331170214569</v>
      </c>
      <c r="N137" s="7">
        <v>15.2</v>
      </c>
      <c r="O137" s="7">
        <v>15.4</v>
      </c>
      <c r="P137" s="7">
        <f t="shared" si="2"/>
        <v>0.20000000000000107</v>
      </c>
      <c r="Q137" s="17">
        <v>105.52477770387246</v>
      </c>
      <c r="R137" s="14">
        <v>115</v>
      </c>
      <c r="S137" s="7">
        <v>9.4752222961275407</v>
      </c>
      <c r="T137" s="8" t="s">
        <v>909</v>
      </c>
    </row>
    <row r="138" spans="1:20">
      <c r="A138" s="5" t="s">
        <v>287</v>
      </c>
      <c r="B138" s="5" t="s">
        <v>288</v>
      </c>
      <c r="C138" s="5" t="s">
        <v>18</v>
      </c>
      <c r="D138" s="5">
        <v>2</v>
      </c>
      <c r="E138" s="6" t="s">
        <v>266</v>
      </c>
      <c r="F138" s="10">
        <v>700</v>
      </c>
      <c r="G138" s="7">
        <v>11.753964472730765</v>
      </c>
      <c r="H138" s="7">
        <v>13.88980269280848</v>
      </c>
      <c r="I138" s="7">
        <v>15.334487738884082</v>
      </c>
      <c r="J138" s="7">
        <v>17.176646322813241</v>
      </c>
      <c r="K138" s="7">
        <v>18.589636726837128</v>
      </c>
      <c r="L138" s="7">
        <v>20.1009085795842</v>
      </c>
      <c r="M138" s="7">
        <v>8.679331170214569</v>
      </c>
      <c r="N138" s="7">
        <v>11.3</v>
      </c>
      <c r="O138" s="7">
        <v>12.6</v>
      </c>
      <c r="P138" s="7">
        <f t="shared" si="2"/>
        <v>1.2999999999999989</v>
      </c>
      <c r="Q138" s="17">
        <v>105.52477770387246</v>
      </c>
      <c r="R138" s="14">
        <v>105</v>
      </c>
      <c r="S138" s="7">
        <v>-0.52477770387245926</v>
      </c>
      <c r="T138" s="8" t="s">
        <v>910</v>
      </c>
    </row>
    <row r="139" spans="1:20">
      <c r="A139" s="5" t="s">
        <v>289</v>
      </c>
      <c r="B139" s="5" t="s">
        <v>290</v>
      </c>
      <c r="C139" s="5" t="s">
        <v>18</v>
      </c>
      <c r="D139" s="5">
        <v>3</v>
      </c>
      <c r="E139" s="6" t="s">
        <v>266</v>
      </c>
      <c r="F139" s="10">
        <v>700</v>
      </c>
      <c r="G139" s="7">
        <v>11.753964472730765</v>
      </c>
      <c r="H139" s="7">
        <v>13.88980269280848</v>
      </c>
      <c r="I139" s="7">
        <v>15.334487738884082</v>
      </c>
      <c r="J139" s="7">
        <v>17.176646322813241</v>
      </c>
      <c r="K139" s="7">
        <v>18.589636726837128</v>
      </c>
      <c r="L139" s="7">
        <v>20.1009085795842</v>
      </c>
      <c r="M139" s="7">
        <v>8.679331170214569</v>
      </c>
      <c r="N139" s="7">
        <v>16.2</v>
      </c>
      <c r="O139" s="7">
        <v>12</v>
      </c>
      <c r="P139" s="7">
        <f t="shared" si="2"/>
        <v>-4.1999999999999993</v>
      </c>
      <c r="Q139" s="17">
        <v>105.52477770387246</v>
      </c>
      <c r="R139" s="14">
        <v>80</v>
      </c>
      <c r="S139" s="7">
        <v>-25.524777703872459</v>
      </c>
      <c r="T139" s="8" t="s">
        <v>910</v>
      </c>
    </row>
    <row r="140" spans="1:20">
      <c r="A140" s="5" t="s">
        <v>291</v>
      </c>
      <c r="B140" s="5" t="s">
        <v>292</v>
      </c>
      <c r="C140" s="5" t="s">
        <v>18</v>
      </c>
      <c r="D140" s="5">
        <v>3</v>
      </c>
      <c r="E140" s="6" t="s">
        <v>266</v>
      </c>
      <c r="F140" s="10">
        <v>700</v>
      </c>
      <c r="G140" s="7">
        <v>11.753964472730765</v>
      </c>
      <c r="H140" s="7">
        <v>13.88980269280848</v>
      </c>
      <c r="I140" s="7">
        <v>15.334487738884082</v>
      </c>
      <c r="J140" s="7">
        <v>17.176646322813241</v>
      </c>
      <c r="K140" s="7">
        <v>18.589636726837128</v>
      </c>
      <c r="L140" s="7">
        <v>20.1009085795842</v>
      </c>
      <c r="M140" s="7">
        <v>8.679331170214569</v>
      </c>
      <c r="N140" s="7">
        <v>16.399999999999999</v>
      </c>
      <c r="O140" s="7">
        <v>14</v>
      </c>
      <c r="P140" s="7">
        <f t="shared" si="2"/>
        <v>-2.3999999999999986</v>
      </c>
      <c r="Q140" s="17">
        <v>105.52477770387246</v>
      </c>
      <c r="R140" s="14">
        <v>114</v>
      </c>
      <c r="S140" s="7">
        <v>8.4752222961275407</v>
      </c>
      <c r="T140" s="8" t="s">
        <v>909</v>
      </c>
    </row>
    <row r="141" spans="1:20">
      <c r="A141" s="5" t="s">
        <v>293</v>
      </c>
      <c r="B141" s="5" t="s">
        <v>294</v>
      </c>
      <c r="C141" s="5" t="s">
        <v>67</v>
      </c>
      <c r="D141" s="5">
        <v>1</v>
      </c>
      <c r="E141" s="6" t="s">
        <v>266</v>
      </c>
      <c r="F141" s="10">
        <v>700</v>
      </c>
      <c r="G141" s="7">
        <v>11.753964472730765</v>
      </c>
      <c r="H141" s="7">
        <v>13.88980269280848</v>
      </c>
      <c r="I141" s="7">
        <v>15.334487738884082</v>
      </c>
      <c r="J141" s="7">
        <v>17.176646322813241</v>
      </c>
      <c r="K141" s="7">
        <v>18.589636726837128</v>
      </c>
      <c r="L141" s="7">
        <v>20.1009085795842</v>
      </c>
      <c r="M141" s="7">
        <v>8.679331170214569</v>
      </c>
      <c r="N141" s="7">
        <v>15.1</v>
      </c>
      <c r="O141" s="7">
        <v>18.600000000000001</v>
      </c>
      <c r="P141" s="7">
        <f t="shared" si="2"/>
        <v>3.5000000000000018</v>
      </c>
      <c r="Q141" s="17">
        <v>105.52477770387246</v>
      </c>
      <c r="R141" s="14">
        <v>158</v>
      </c>
      <c r="S141" s="7">
        <v>52.475222296127541</v>
      </c>
      <c r="T141" s="8" t="s">
        <v>909</v>
      </c>
    </row>
    <row r="142" spans="1:20">
      <c r="A142" s="5" t="s">
        <v>295</v>
      </c>
      <c r="B142" s="5" t="s">
        <v>296</v>
      </c>
      <c r="C142" s="5" t="s">
        <v>18</v>
      </c>
      <c r="D142" s="5">
        <v>1</v>
      </c>
      <c r="E142" s="6" t="s">
        <v>266</v>
      </c>
      <c r="F142" s="10">
        <v>700</v>
      </c>
      <c r="G142" s="7">
        <v>11.753964472730765</v>
      </c>
      <c r="H142" s="7">
        <v>13.88980269280848</v>
      </c>
      <c r="I142" s="7">
        <v>15.334487738884082</v>
      </c>
      <c r="J142" s="7">
        <v>17.176646322813241</v>
      </c>
      <c r="K142" s="7">
        <v>18.589636726837128</v>
      </c>
      <c r="L142" s="7">
        <v>20.1009085795842</v>
      </c>
      <c r="M142" s="7">
        <v>8.679331170214569</v>
      </c>
      <c r="N142" s="7">
        <v>12.4</v>
      </c>
      <c r="O142" s="7">
        <v>13.4</v>
      </c>
      <c r="P142" s="7">
        <f t="shared" si="2"/>
        <v>1</v>
      </c>
      <c r="Q142" s="17">
        <v>105.52477770387246</v>
      </c>
      <c r="R142" s="14">
        <v>92</v>
      </c>
      <c r="S142" s="7">
        <v>-13.524777703872459</v>
      </c>
      <c r="T142" s="8" t="s">
        <v>910</v>
      </c>
    </row>
    <row r="143" spans="1:20">
      <c r="A143" s="5" t="s">
        <v>297</v>
      </c>
      <c r="B143" s="5" t="s">
        <v>298</v>
      </c>
      <c r="C143" s="5" t="s">
        <v>18</v>
      </c>
      <c r="D143" s="5">
        <v>2</v>
      </c>
      <c r="E143" s="6" t="s">
        <v>266</v>
      </c>
      <c r="F143" s="10">
        <v>700</v>
      </c>
      <c r="G143" s="7">
        <v>11.753964472730765</v>
      </c>
      <c r="H143" s="7">
        <v>13.88980269280848</v>
      </c>
      <c r="I143" s="7">
        <v>15.334487738884082</v>
      </c>
      <c r="J143" s="7">
        <v>17.176646322813241</v>
      </c>
      <c r="K143" s="7">
        <v>18.589636726837128</v>
      </c>
      <c r="L143" s="7">
        <v>20.1009085795842</v>
      </c>
      <c r="M143" s="7">
        <v>8.679331170214569</v>
      </c>
      <c r="N143" s="7">
        <v>15.2</v>
      </c>
      <c r="O143" s="7">
        <v>12.8</v>
      </c>
      <c r="P143" s="7">
        <f t="shared" si="2"/>
        <v>-2.3999999999999986</v>
      </c>
      <c r="Q143" s="17">
        <v>105.52477770387246</v>
      </c>
      <c r="R143" s="14">
        <v>101</v>
      </c>
      <c r="S143" s="7">
        <v>-4.5247777038724593</v>
      </c>
      <c r="T143" s="8" t="s">
        <v>910</v>
      </c>
    </row>
    <row r="144" spans="1:20">
      <c r="A144" s="5" t="s">
        <v>299</v>
      </c>
      <c r="B144" s="5" t="s">
        <v>300</v>
      </c>
      <c r="C144" s="5" t="s">
        <v>18</v>
      </c>
      <c r="D144" s="5">
        <v>1</v>
      </c>
      <c r="E144" s="6" t="s">
        <v>266</v>
      </c>
      <c r="F144" s="10">
        <v>700</v>
      </c>
      <c r="G144" s="7">
        <v>11.599307045457993</v>
      </c>
      <c r="H144" s="7">
        <v>13.707042131061</v>
      </c>
      <c r="I144" s="7">
        <v>15.132718163372449</v>
      </c>
      <c r="J144" s="7">
        <v>16.950637818565692</v>
      </c>
      <c r="K144" s="7">
        <v>18.345036243589266</v>
      </c>
      <c r="L144" s="7">
        <v>19.836422940379144</v>
      </c>
      <c r="M144" s="7">
        <v>8.5651294442906902</v>
      </c>
      <c r="N144" s="7">
        <v>16.600000000000001</v>
      </c>
      <c r="O144" s="7">
        <v>16.399999999999999</v>
      </c>
      <c r="P144" s="7">
        <f t="shared" si="2"/>
        <v>-0.20000000000000284</v>
      </c>
      <c r="Q144" s="17">
        <v>104.13629378671622</v>
      </c>
      <c r="R144" s="14">
        <v>117</v>
      </c>
      <c r="S144" s="7">
        <v>12.863706213283777</v>
      </c>
      <c r="T144" s="8" t="s">
        <v>909</v>
      </c>
    </row>
    <row r="145" spans="1:20">
      <c r="A145" s="5" t="s">
        <v>301</v>
      </c>
      <c r="B145" s="5" t="s">
        <v>302</v>
      </c>
      <c r="C145" s="5" t="s">
        <v>18</v>
      </c>
      <c r="D145" s="5">
        <v>1</v>
      </c>
      <c r="E145" s="6" t="s">
        <v>266</v>
      </c>
      <c r="F145" s="10">
        <v>700</v>
      </c>
      <c r="G145" s="7">
        <v>11.599307045457993</v>
      </c>
      <c r="H145" s="7">
        <v>13.707042131061</v>
      </c>
      <c r="I145" s="7">
        <v>15.132718163372449</v>
      </c>
      <c r="J145" s="7">
        <v>16.950637818565692</v>
      </c>
      <c r="K145" s="7">
        <v>18.345036243589266</v>
      </c>
      <c r="L145" s="7">
        <v>19.836422940379144</v>
      </c>
      <c r="M145" s="7">
        <v>8.5651294442906902</v>
      </c>
      <c r="N145" s="7">
        <v>12.7</v>
      </c>
      <c r="O145" s="7">
        <v>18.8</v>
      </c>
      <c r="P145" s="7">
        <f t="shared" si="2"/>
        <v>6.1000000000000014</v>
      </c>
      <c r="Q145" s="17">
        <v>104.13629378671622</v>
      </c>
      <c r="R145" s="14">
        <v>126</v>
      </c>
      <c r="S145" s="7">
        <v>21.863706213283777</v>
      </c>
      <c r="T145" s="8" t="s">
        <v>909</v>
      </c>
    </row>
    <row r="146" spans="1:20">
      <c r="A146" s="5" t="s">
        <v>303</v>
      </c>
      <c r="B146" s="5" t="s">
        <v>304</v>
      </c>
      <c r="C146" s="5" t="s">
        <v>18</v>
      </c>
      <c r="D146" s="5">
        <v>2</v>
      </c>
      <c r="E146" s="6" t="s">
        <v>266</v>
      </c>
      <c r="F146" s="10">
        <v>700</v>
      </c>
      <c r="G146" s="7">
        <v>11.599307045457993</v>
      </c>
      <c r="H146" s="7">
        <v>13.707042131061</v>
      </c>
      <c r="I146" s="7">
        <v>15.132718163372449</v>
      </c>
      <c r="J146" s="7">
        <v>16.950637818565692</v>
      </c>
      <c r="K146" s="7">
        <v>18.345036243589266</v>
      </c>
      <c r="L146" s="7">
        <v>19.836422940379144</v>
      </c>
      <c r="M146" s="7">
        <v>8.5651294442906902</v>
      </c>
      <c r="N146" s="7">
        <v>13.3</v>
      </c>
      <c r="O146" s="7">
        <v>12.2</v>
      </c>
      <c r="P146" s="7">
        <f t="shared" si="2"/>
        <v>-1.1000000000000014</v>
      </c>
      <c r="Q146" s="17">
        <v>104.13629378671622</v>
      </c>
      <c r="R146" s="14">
        <v>91</v>
      </c>
      <c r="S146" s="7">
        <v>-13.136293786716223</v>
      </c>
      <c r="T146" s="8" t="s">
        <v>910</v>
      </c>
    </row>
    <row r="147" spans="1:20">
      <c r="A147" s="5" t="s">
        <v>305</v>
      </c>
      <c r="B147" s="5" t="s">
        <v>306</v>
      </c>
      <c r="C147" s="5" t="s">
        <v>18</v>
      </c>
      <c r="D147" s="5">
        <v>1</v>
      </c>
      <c r="E147" s="6" t="s">
        <v>266</v>
      </c>
      <c r="F147" s="10">
        <v>700</v>
      </c>
      <c r="G147" s="7">
        <v>11.599307045457993</v>
      </c>
      <c r="H147" s="7">
        <v>13.707042131061</v>
      </c>
      <c r="I147" s="7">
        <v>15.132718163372449</v>
      </c>
      <c r="J147" s="7">
        <v>16.950637818565692</v>
      </c>
      <c r="K147" s="7">
        <v>18.345036243589266</v>
      </c>
      <c r="L147" s="7">
        <v>19.836422940379144</v>
      </c>
      <c r="M147" s="7">
        <v>8.5651294442906902</v>
      </c>
      <c r="N147" s="7">
        <v>9.6999999999999993</v>
      </c>
      <c r="O147" s="7">
        <v>9.4</v>
      </c>
      <c r="P147" s="7">
        <f t="shared" si="2"/>
        <v>-0.29999999999999893</v>
      </c>
      <c r="Q147" s="17">
        <v>104.13629378671622</v>
      </c>
      <c r="R147" s="14">
        <v>75</v>
      </c>
      <c r="S147" s="7">
        <v>-29.136293786716223</v>
      </c>
      <c r="T147" s="8" t="s">
        <v>910</v>
      </c>
    </row>
    <row r="148" spans="1:20">
      <c r="A148" s="5" t="s">
        <v>307</v>
      </c>
      <c r="B148" s="5" t="s">
        <v>308</v>
      </c>
      <c r="C148" s="5" t="s">
        <v>18</v>
      </c>
      <c r="D148" s="5">
        <v>2</v>
      </c>
      <c r="E148" s="6" t="s">
        <v>266</v>
      </c>
      <c r="F148" s="10">
        <v>700</v>
      </c>
      <c r="G148" s="7">
        <v>11.599307045457993</v>
      </c>
      <c r="H148" s="7">
        <v>13.707042131061</v>
      </c>
      <c r="I148" s="7">
        <v>15.132718163372449</v>
      </c>
      <c r="J148" s="7">
        <v>16.950637818565692</v>
      </c>
      <c r="K148" s="7">
        <v>18.345036243589266</v>
      </c>
      <c r="L148" s="7">
        <v>19.836422940379144</v>
      </c>
      <c r="M148" s="7">
        <v>8.5651294442906902</v>
      </c>
      <c r="N148" s="7">
        <v>15.5</v>
      </c>
      <c r="O148" s="7">
        <v>15.4</v>
      </c>
      <c r="P148" s="7">
        <f t="shared" si="2"/>
        <v>-9.9999999999999645E-2</v>
      </c>
      <c r="Q148" s="17">
        <v>104.13629378671622</v>
      </c>
      <c r="R148" s="14">
        <v>109</v>
      </c>
      <c r="S148" s="7">
        <v>4.8637062132837769</v>
      </c>
      <c r="T148" s="8" t="s">
        <v>909</v>
      </c>
    </row>
    <row r="149" spans="1:20">
      <c r="A149" s="5" t="s">
        <v>309</v>
      </c>
      <c r="B149" s="5" t="s">
        <v>310</v>
      </c>
      <c r="C149" s="5" t="s">
        <v>18</v>
      </c>
      <c r="D149" s="5">
        <v>4</v>
      </c>
      <c r="E149" s="6" t="s">
        <v>266</v>
      </c>
      <c r="F149" s="10">
        <v>700</v>
      </c>
      <c r="G149" s="7">
        <v>11.599307045457993</v>
      </c>
      <c r="H149" s="7">
        <v>13.707042131061</v>
      </c>
      <c r="I149" s="7">
        <v>15.132718163372449</v>
      </c>
      <c r="J149" s="7">
        <v>16.950637818565692</v>
      </c>
      <c r="K149" s="7">
        <v>18.345036243589266</v>
      </c>
      <c r="L149" s="7">
        <v>19.836422940379144</v>
      </c>
      <c r="M149" s="7">
        <v>8.5651294442906902</v>
      </c>
      <c r="N149" s="7">
        <v>16.899999999999999</v>
      </c>
      <c r="O149" s="7">
        <v>35</v>
      </c>
      <c r="P149" s="7">
        <f t="shared" si="2"/>
        <v>18.100000000000001</v>
      </c>
      <c r="Q149" s="17">
        <v>104.13629378671622</v>
      </c>
      <c r="R149" s="14">
        <v>252</v>
      </c>
      <c r="S149" s="7">
        <v>147.86370621328376</v>
      </c>
      <c r="T149" s="8" t="s">
        <v>909</v>
      </c>
    </row>
    <row r="150" spans="1:20">
      <c r="A150" s="5" t="s">
        <v>311</v>
      </c>
      <c r="B150" s="5" t="s">
        <v>312</v>
      </c>
      <c r="C150" s="5" t="s">
        <v>18</v>
      </c>
      <c r="D150" s="5">
        <v>3</v>
      </c>
      <c r="E150" s="6" t="s">
        <v>266</v>
      </c>
      <c r="F150" s="10">
        <v>700</v>
      </c>
      <c r="G150" s="7">
        <v>11.599307045457993</v>
      </c>
      <c r="H150" s="7">
        <v>13.707042131061</v>
      </c>
      <c r="I150" s="7">
        <v>15.132718163372449</v>
      </c>
      <c r="J150" s="7">
        <v>16.950637818565692</v>
      </c>
      <c r="K150" s="7">
        <v>18.345036243589266</v>
      </c>
      <c r="L150" s="7">
        <v>19.836422940379144</v>
      </c>
      <c r="M150" s="7">
        <v>8.5651294442906902</v>
      </c>
      <c r="N150" s="7">
        <v>13.5</v>
      </c>
      <c r="O150" s="7">
        <v>10.4</v>
      </c>
      <c r="P150" s="7">
        <f t="shared" si="2"/>
        <v>-3.0999999999999996</v>
      </c>
      <c r="Q150" s="17">
        <v>104.13629378671622</v>
      </c>
      <c r="R150" s="14">
        <v>72</v>
      </c>
      <c r="S150" s="7">
        <v>-32.136293786716223</v>
      </c>
      <c r="T150" s="8" t="s">
        <v>910</v>
      </c>
    </row>
    <row r="151" spans="1:20">
      <c r="A151" s="5" t="s">
        <v>313</v>
      </c>
      <c r="B151" s="5" t="s">
        <v>314</v>
      </c>
      <c r="C151" s="5" t="s">
        <v>18</v>
      </c>
      <c r="D151" s="5">
        <v>3</v>
      </c>
      <c r="E151" s="6" t="s">
        <v>266</v>
      </c>
      <c r="F151" s="10">
        <v>700</v>
      </c>
      <c r="G151" s="7">
        <v>11.599307045457993</v>
      </c>
      <c r="H151" s="7">
        <v>13.707042131061</v>
      </c>
      <c r="I151" s="7">
        <v>15.132718163372449</v>
      </c>
      <c r="J151" s="7">
        <v>16.950637818565692</v>
      </c>
      <c r="K151" s="7">
        <v>18.345036243589266</v>
      </c>
      <c r="L151" s="7">
        <v>19.836422940379144</v>
      </c>
      <c r="M151" s="7">
        <v>8.5651294442906902</v>
      </c>
      <c r="N151" s="7">
        <v>13.5</v>
      </c>
      <c r="O151" s="7">
        <v>14</v>
      </c>
      <c r="P151" s="7">
        <f t="shared" si="2"/>
        <v>0.5</v>
      </c>
      <c r="Q151" s="17">
        <v>104.13629378671622</v>
      </c>
      <c r="R151" s="14">
        <v>107</v>
      </c>
      <c r="S151" s="7">
        <v>2.8637062132837769</v>
      </c>
      <c r="T151" s="8" t="s">
        <v>909</v>
      </c>
    </row>
    <row r="152" spans="1:20">
      <c r="A152" s="5" t="s">
        <v>315</v>
      </c>
      <c r="B152" s="5" t="s">
        <v>316</v>
      </c>
      <c r="C152" s="5" t="s">
        <v>18</v>
      </c>
      <c r="D152" s="5">
        <v>2</v>
      </c>
      <c r="E152" s="6" t="s">
        <v>266</v>
      </c>
      <c r="F152" s="10">
        <v>700</v>
      </c>
      <c r="G152" s="7">
        <v>11.599307045457993</v>
      </c>
      <c r="H152" s="7">
        <v>13.707042131061</v>
      </c>
      <c r="I152" s="7">
        <v>15.132718163372449</v>
      </c>
      <c r="J152" s="7">
        <v>16.950637818565692</v>
      </c>
      <c r="K152" s="7">
        <v>18.345036243589266</v>
      </c>
      <c r="L152" s="7">
        <v>19.836422940379144</v>
      </c>
      <c r="M152" s="7">
        <v>8.5651294442906902</v>
      </c>
      <c r="N152" s="7">
        <v>15.6</v>
      </c>
      <c r="O152" s="7">
        <v>13.8</v>
      </c>
      <c r="P152" s="7">
        <f t="shared" si="2"/>
        <v>-1.7999999999999989</v>
      </c>
      <c r="Q152" s="17">
        <v>104.13629378671622</v>
      </c>
      <c r="R152" s="14">
        <v>103</v>
      </c>
      <c r="S152" s="7">
        <v>-1.1362937867162231</v>
      </c>
      <c r="T152" s="8" t="s">
        <v>910</v>
      </c>
    </row>
    <row r="153" spans="1:20">
      <c r="A153" s="5" t="s">
        <v>317</v>
      </c>
      <c r="B153" s="5" t="s">
        <v>318</v>
      </c>
      <c r="C153" s="5" t="s">
        <v>18</v>
      </c>
      <c r="D153" s="5">
        <v>1</v>
      </c>
      <c r="E153" s="6" t="s">
        <v>266</v>
      </c>
      <c r="F153" s="10">
        <v>700</v>
      </c>
      <c r="G153" s="7">
        <v>11.444649618185219</v>
      </c>
      <c r="H153" s="7">
        <v>13.524281569313519</v>
      </c>
      <c r="I153" s="7">
        <v>14.930948587860817</v>
      </c>
      <c r="J153" s="7">
        <v>16.724629314318154</v>
      </c>
      <c r="K153" s="7">
        <v>18.100435760341412</v>
      </c>
      <c r="L153" s="7">
        <v>19.571937301174088</v>
      </c>
      <c r="M153" s="7">
        <v>8.450927718366815</v>
      </c>
      <c r="N153" s="7">
        <v>13.4</v>
      </c>
      <c r="O153" s="7">
        <v>19.8</v>
      </c>
      <c r="P153" s="7">
        <f t="shared" si="2"/>
        <v>6.4</v>
      </c>
      <c r="Q153" s="17">
        <v>102.74780986956003</v>
      </c>
      <c r="R153" s="14">
        <v>152</v>
      </c>
      <c r="S153" s="7">
        <v>49.252190130439971</v>
      </c>
      <c r="T153" s="8" t="s">
        <v>909</v>
      </c>
    </row>
    <row r="154" spans="1:20">
      <c r="A154" s="5" t="s">
        <v>319</v>
      </c>
      <c r="B154" s="5" t="s">
        <v>320</v>
      </c>
      <c r="C154" s="5" t="s">
        <v>18</v>
      </c>
      <c r="D154" s="5">
        <v>3</v>
      </c>
      <c r="E154" s="6" t="s">
        <v>266</v>
      </c>
      <c r="F154" s="10">
        <v>700</v>
      </c>
      <c r="G154" s="7">
        <v>11.444649618185219</v>
      </c>
      <c r="H154" s="7">
        <v>13.524281569313519</v>
      </c>
      <c r="I154" s="7">
        <v>14.930948587860817</v>
      </c>
      <c r="J154" s="7">
        <v>16.724629314318154</v>
      </c>
      <c r="K154" s="7">
        <v>18.100435760341412</v>
      </c>
      <c r="L154" s="7">
        <v>19.571937301174088</v>
      </c>
      <c r="M154" s="7">
        <v>8.450927718366815</v>
      </c>
      <c r="N154" s="7">
        <v>7.6</v>
      </c>
      <c r="O154" s="7">
        <v>8</v>
      </c>
      <c r="P154" s="7">
        <f t="shared" si="2"/>
        <v>0.40000000000000036</v>
      </c>
      <c r="Q154" s="17">
        <v>102.74780986956003</v>
      </c>
      <c r="R154" s="14">
        <v>53</v>
      </c>
      <c r="S154" s="7">
        <v>-49.747809869560029</v>
      </c>
      <c r="T154" s="8" t="s">
        <v>910</v>
      </c>
    </row>
    <row r="155" spans="1:20">
      <c r="A155" s="5" t="s">
        <v>321</v>
      </c>
      <c r="B155" s="5" t="s">
        <v>322</v>
      </c>
      <c r="C155" s="5" t="s">
        <v>18</v>
      </c>
      <c r="D155" s="5">
        <v>2</v>
      </c>
      <c r="E155" s="6" t="s">
        <v>266</v>
      </c>
      <c r="F155" s="10">
        <v>700</v>
      </c>
      <c r="G155" s="7">
        <v>11.289992190912447</v>
      </c>
      <c r="H155" s="7">
        <v>13.34152100756604</v>
      </c>
      <c r="I155" s="7">
        <v>14.729179012349185</v>
      </c>
      <c r="J155" s="7">
        <v>16.498620810070612</v>
      </c>
      <c r="K155" s="7">
        <v>17.855835277093554</v>
      </c>
      <c r="L155" s="7">
        <v>19.307451661969036</v>
      </c>
      <c r="M155" s="7">
        <v>8.3367259924429398</v>
      </c>
      <c r="N155" s="7">
        <v>12.6</v>
      </c>
      <c r="O155" s="7">
        <v>13.4</v>
      </c>
      <c r="P155" s="7">
        <f t="shared" si="2"/>
        <v>0.80000000000000071</v>
      </c>
      <c r="Q155" s="17">
        <v>101.35932595240382</v>
      </c>
      <c r="R155" s="14">
        <v>99</v>
      </c>
      <c r="S155" s="7">
        <v>-2.3593259524038217</v>
      </c>
      <c r="T155" s="8" t="s">
        <v>910</v>
      </c>
    </row>
    <row r="156" spans="1:20">
      <c r="A156" s="5" t="s">
        <v>323</v>
      </c>
      <c r="B156" s="5" t="s">
        <v>324</v>
      </c>
      <c r="C156" s="5" t="s">
        <v>18</v>
      </c>
      <c r="D156" s="5">
        <v>3</v>
      </c>
      <c r="E156" s="6" t="s">
        <v>266</v>
      </c>
      <c r="F156" s="10">
        <v>700</v>
      </c>
      <c r="G156" s="7">
        <v>11.289992190912447</v>
      </c>
      <c r="H156" s="7">
        <v>13.34152100756604</v>
      </c>
      <c r="I156" s="7">
        <v>14.729179012349185</v>
      </c>
      <c r="J156" s="7">
        <v>16.498620810070612</v>
      </c>
      <c r="K156" s="7">
        <v>17.855835277093554</v>
      </c>
      <c r="L156" s="7">
        <v>19.307451661969036</v>
      </c>
      <c r="M156" s="7">
        <v>8.3367259924429398</v>
      </c>
      <c r="N156" s="7">
        <v>10.5</v>
      </c>
      <c r="O156" s="7">
        <v>10.8</v>
      </c>
      <c r="P156" s="7">
        <f t="shared" si="2"/>
        <v>0.30000000000000071</v>
      </c>
      <c r="Q156" s="17">
        <v>101.35932595240382</v>
      </c>
      <c r="R156" s="14">
        <v>76</v>
      </c>
      <c r="S156" s="7">
        <v>-25.359325952403822</v>
      </c>
      <c r="T156" s="8" t="s">
        <v>910</v>
      </c>
    </row>
    <row r="157" spans="1:20">
      <c r="A157" s="5" t="s">
        <v>325</v>
      </c>
      <c r="B157" s="5" t="s">
        <v>326</v>
      </c>
      <c r="C157" s="5" t="s">
        <v>18</v>
      </c>
      <c r="D157" s="5">
        <v>2</v>
      </c>
      <c r="E157" s="6" t="s">
        <v>266</v>
      </c>
      <c r="F157" s="10">
        <v>700</v>
      </c>
      <c r="G157" s="7">
        <v>11.289992190912447</v>
      </c>
      <c r="H157" s="7">
        <v>13.34152100756604</v>
      </c>
      <c r="I157" s="7">
        <v>14.729179012349185</v>
      </c>
      <c r="J157" s="7">
        <v>16.498620810070612</v>
      </c>
      <c r="K157" s="7">
        <v>17.855835277093554</v>
      </c>
      <c r="L157" s="7">
        <v>19.307451661969036</v>
      </c>
      <c r="M157" s="7">
        <v>8.3367259924429398</v>
      </c>
      <c r="N157" s="7">
        <v>16.100000000000001</v>
      </c>
      <c r="O157" s="7">
        <v>16.600000000000001</v>
      </c>
      <c r="P157" s="7">
        <f t="shared" si="2"/>
        <v>0.5</v>
      </c>
      <c r="Q157" s="17">
        <v>101.35932595240382</v>
      </c>
      <c r="R157" s="14">
        <v>114</v>
      </c>
      <c r="S157" s="7">
        <v>12.640674047596178</v>
      </c>
      <c r="T157" s="8" t="s">
        <v>909</v>
      </c>
    </row>
    <row r="158" spans="1:20">
      <c r="A158" s="5" t="s">
        <v>327</v>
      </c>
      <c r="B158" s="5" t="s">
        <v>328</v>
      </c>
      <c r="C158" s="5" t="s">
        <v>18</v>
      </c>
      <c r="D158" s="5">
        <v>2</v>
      </c>
      <c r="E158" s="6" t="s">
        <v>266</v>
      </c>
      <c r="F158" s="10">
        <v>700</v>
      </c>
      <c r="G158" s="7">
        <v>11.135334763639673</v>
      </c>
      <c r="H158" s="7">
        <v>13.158760445818558</v>
      </c>
      <c r="I158" s="7">
        <v>14.527409436837551</v>
      </c>
      <c r="J158" s="7">
        <v>16.272612305823067</v>
      </c>
      <c r="K158" s="7">
        <v>17.611234793845696</v>
      </c>
      <c r="L158" s="7">
        <v>19.042966022763977</v>
      </c>
      <c r="M158" s="7">
        <v>8.2225242665190628</v>
      </c>
      <c r="N158" s="7">
        <v>12.6</v>
      </c>
      <c r="O158" s="7">
        <v>10.6</v>
      </c>
      <c r="P158" s="7">
        <f t="shared" si="2"/>
        <v>-2</v>
      </c>
      <c r="Q158" s="17">
        <v>99.970842035247585</v>
      </c>
      <c r="R158" s="14">
        <v>68</v>
      </c>
      <c r="S158" s="7">
        <v>-31.970842035247585</v>
      </c>
      <c r="T158" s="8" t="s">
        <v>910</v>
      </c>
    </row>
    <row r="159" spans="1:20">
      <c r="A159" s="5" t="s">
        <v>329</v>
      </c>
      <c r="B159" s="5" t="s">
        <v>330</v>
      </c>
      <c r="C159" s="5" t="s">
        <v>18</v>
      </c>
      <c r="D159" s="5">
        <v>1</v>
      </c>
      <c r="E159" s="6" t="s">
        <v>266</v>
      </c>
      <c r="F159" s="10">
        <v>700</v>
      </c>
      <c r="G159" s="7">
        <v>11.135334763639673</v>
      </c>
      <c r="H159" s="7">
        <v>13.158760445818558</v>
      </c>
      <c r="I159" s="7">
        <v>14.527409436837551</v>
      </c>
      <c r="J159" s="7">
        <v>16.272612305823067</v>
      </c>
      <c r="K159" s="7">
        <v>17.611234793845696</v>
      </c>
      <c r="L159" s="7">
        <v>19.042966022763977</v>
      </c>
      <c r="M159" s="7">
        <v>8.2225242665190628</v>
      </c>
      <c r="N159" s="7">
        <v>12.8</v>
      </c>
      <c r="O159" s="7">
        <v>13.4</v>
      </c>
      <c r="P159" s="7">
        <f t="shared" si="2"/>
        <v>0.59999999999999964</v>
      </c>
      <c r="Q159" s="17">
        <v>99.970842035247585</v>
      </c>
      <c r="R159" s="14">
        <v>87</v>
      </c>
      <c r="S159" s="7">
        <v>-12.970842035247585</v>
      </c>
      <c r="T159" s="8" t="s">
        <v>910</v>
      </c>
    </row>
    <row r="160" spans="1:20">
      <c r="A160" s="5" t="s">
        <v>331</v>
      </c>
      <c r="B160" s="5" t="s">
        <v>332</v>
      </c>
      <c r="C160" s="5" t="s">
        <v>18</v>
      </c>
      <c r="D160" s="5">
        <v>1</v>
      </c>
      <c r="E160" s="6" t="s">
        <v>266</v>
      </c>
      <c r="F160" s="10">
        <v>700</v>
      </c>
      <c r="G160" s="7">
        <v>10.980677336366899</v>
      </c>
      <c r="H160" s="7">
        <v>12.975999884071081</v>
      </c>
      <c r="I160" s="7">
        <v>14.325639861325921</v>
      </c>
      <c r="J160" s="7">
        <v>16.046603801575525</v>
      </c>
      <c r="K160" s="7">
        <v>17.366634310597842</v>
      </c>
      <c r="L160" s="7">
        <v>18.778480383558925</v>
      </c>
      <c r="M160" s="7">
        <v>8.1083225405951893</v>
      </c>
      <c r="N160" s="7">
        <v>10.1</v>
      </c>
      <c r="O160" s="7">
        <v>11.6</v>
      </c>
      <c r="P160" s="7">
        <f t="shared" si="2"/>
        <v>1.5</v>
      </c>
      <c r="Q160" s="17">
        <v>98.582358118091406</v>
      </c>
      <c r="R160" s="14">
        <v>84</v>
      </c>
      <c r="S160" s="7">
        <v>-14.582358118091406</v>
      </c>
      <c r="T160" s="8" t="s">
        <v>910</v>
      </c>
    </row>
    <row r="161" spans="1:20">
      <c r="A161" s="5" t="s">
        <v>333</v>
      </c>
      <c r="B161" s="5" t="s">
        <v>334</v>
      </c>
      <c r="C161" s="5" t="s">
        <v>18</v>
      </c>
      <c r="D161" s="5">
        <v>2</v>
      </c>
      <c r="E161" s="6" t="s">
        <v>266</v>
      </c>
      <c r="F161" s="10">
        <v>700</v>
      </c>
      <c r="G161" s="7">
        <v>10.980677336366899</v>
      </c>
      <c r="H161" s="7">
        <v>12.975999884071081</v>
      </c>
      <c r="I161" s="7">
        <v>14.325639861325921</v>
      </c>
      <c r="J161" s="7">
        <v>16.046603801575525</v>
      </c>
      <c r="K161" s="7">
        <v>17.366634310597842</v>
      </c>
      <c r="L161" s="7">
        <v>18.778480383558925</v>
      </c>
      <c r="M161" s="7">
        <v>8.1083225405951893</v>
      </c>
      <c r="N161" s="7">
        <v>15.6</v>
      </c>
      <c r="O161" s="7">
        <v>11</v>
      </c>
      <c r="P161" s="7">
        <f t="shared" si="2"/>
        <v>-4.5999999999999996</v>
      </c>
      <c r="Q161" s="17">
        <v>98.582358118091406</v>
      </c>
      <c r="R161" s="14">
        <v>82</v>
      </c>
      <c r="S161" s="7">
        <v>-16.582358118091406</v>
      </c>
      <c r="T161" s="8" t="s">
        <v>910</v>
      </c>
    </row>
    <row r="162" spans="1:20">
      <c r="A162" s="5" t="s">
        <v>335</v>
      </c>
      <c r="B162" s="5" t="s">
        <v>336</v>
      </c>
      <c r="C162" s="5" t="s">
        <v>18</v>
      </c>
      <c r="D162" s="5">
        <v>4</v>
      </c>
      <c r="E162" s="6" t="s">
        <v>266</v>
      </c>
      <c r="F162" s="10">
        <v>700</v>
      </c>
      <c r="G162" s="7">
        <v>10.980677336366899</v>
      </c>
      <c r="H162" s="7">
        <v>12.975999884071081</v>
      </c>
      <c r="I162" s="7">
        <v>14.325639861325921</v>
      </c>
      <c r="J162" s="7">
        <v>16.046603801575525</v>
      </c>
      <c r="K162" s="7">
        <v>17.366634310597842</v>
      </c>
      <c r="L162" s="7">
        <v>18.778480383558925</v>
      </c>
      <c r="M162" s="7">
        <v>8.1083225405951893</v>
      </c>
      <c r="N162" s="7">
        <v>14.7</v>
      </c>
      <c r="O162" s="7">
        <v>13.8</v>
      </c>
      <c r="P162" s="7">
        <f t="shared" si="2"/>
        <v>-0.89999999999999858</v>
      </c>
      <c r="Q162" s="17">
        <v>98.582358118091406</v>
      </c>
      <c r="R162" s="14">
        <v>87</v>
      </c>
      <c r="S162" s="7">
        <v>-11.582358118091406</v>
      </c>
      <c r="T162" s="8" t="s">
        <v>910</v>
      </c>
    </row>
    <row r="163" spans="1:20">
      <c r="A163" s="5" t="s">
        <v>337</v>
      </c>
      <c r="B163" s="5" t="s">
        <v>338</v>
      </c>
      <c r="C163" s="5" t="s">
        <v>18</v>
      </c>
      <c r="D163" s="5">
        <v>1</v>
      </c>
      <c r="E163" s="6" t="s">
        <v>266</v>
      </c>
      <c r="F163" s="10">
        <v>700</v>
      </c>
      <c r="G163" s="7">
        <v>10.826019909094125</v>
      </c>
      <c r="H163" s="7">
        <v>12.793239322323599</v>
      </c>
      <c r="I163" s="7">
        <v>14.123870285814286</v>
      </c>
      <c r="J163" s="7">
        <v>15.820595297327982</v>
      </c>
      <c r="K163" s="7">
        <v>17.122033827349984</v>
      </c>
      <c r="L163" s="7">
        <v>18.513994744353869</v>
      </c>
      <c r="M163" s="7">
        <v>7.9941208146713114</v>
      </c>
      <c r="N163" s="7">
        <v>10</v>
      </c>
      <c r="O163" s="7">
        <v>7</v>
      </c>
      <c r="P163" s="7">
        <f t="shared" si="2"/>
        <v>-3</v>
      </c>
      <c r="Q163" s="17">
        <v>97.193874200935142</v>
      </c>
      <c r="R163" s="14">
        <v>59</v>
      </c>
      <c r="S163" s="7">
        <v>-38.193874200935142</v>
      </c>
      <c r="T163" s="8" t="s">
        <v>910</v>
      </c>
    </row>
    <row r="164" spans="1:20">
      <c r="A164" s="5" t="s">
        <v>339</v>
      </c>
      <c r="B164" s="5" t="s">
        <v>340</v>
      </c>
      <c r="C164" s="5" t="s">
        <v>18</v>
      </c>
      <c r="D164" s="5">
        <v>3</v>
      </c>
      <c r="E164" s="6" t="s">
        <v>266</v>
      </c>
      <c r="F164" s="10">
        <v>700</v>
      </c>
      <c r="G164" s="7">
        <v>10.826019909094125</v>
      </c>
      <c r="H164" s="7">
        <v>12.793239322323599</v>
      </c>
      <c r="I164" s="7">
        <v>14.123870285814286</v>
      </c>
      <c r="J164" s="7">
        <v>15.820595297327982</v>
      </c>
      <c r="K164" s="7">
        <v>17.122033827349984</v>
      </c>
      <c r="L164" s="7">
        <v>18.513994744353869</v>
      </c>
      <c r="M164" s="7">
        <v>7.9941208146713114</v>
      </c>
      <c r="N164" s="7">
        <v>10.8</v>
      </c>
      <c r="O164" s="7">
        <v>9</v>
      </c>
      <c r="P164" s="7">
        <f t="shared" si="2"/>
        <v>-1.8000000000000007</v>
      </c>
      <c r="Q164" s="17">
        <v>97.193874200935142</v>
      </c>
      <c r="R164" s="14">
        <v>120</v>
      </c>
      <c r="S164" s="7">
        <v>22.806125799064858</v>
      </c>
      <c r="T164" s="8" t="s">
        <v>909</v>
      </c>
    </row>
    <row r="165" spans="1:20">
      <c r="A165" s="5" t="s">
        <v>341</v>
      </c>
      <c r="B165" s="5" t="s">
        <v>342</v>
      </c>
      <c r="C165" s="5" t="s">
        <v>18</v>
      </c>
      <c r="D165" s="5">
        <v>3</v>
      </c>
      <c r="E165" s="6" t="s">
        <v>266</v>
      </c>
      <c r="F165" s="10">
        <v>700</v>
      </c>
      <c r="G165" s="7">
        <v>10.826019909094125</v>
      </c>
      <c r="H165" s="7">
        <v>12.793239322323599</v>
      </c>
      <c r="I165" s="7">
        <v>14.123870285814286</v>
      </c>
      <c r="J165" s="7">
        <v>15.820595297327982</v>
      </c>
      <c r="K165" s="7">
        <v>17.122033827349984</v>
      </c>
      <c r="L165" s="7">
        <v>18.513994744353869</v>
      </c>
      <c r="M165" s="7">
        <v>7.9941208146713114</v>
      </c>
      <c r="N165" s="7">
        <v>10.9</v>
      </c>
      <c r="O165" s="7">
        <v>13.8</v>
      </c>
      <c r="P165" s="7">
        <f t="shared" si="2"/>
        <v>2.9000000000000004</v>
      </c>
      <c r="Q165" s="17">
        <v>97.193874200935142</v>
      </c>
      <c r="R165" s="14">
        <v>102</v>
      </c>
      <c r="S165" s="7">
        <v>4.8061257990648585</v>
      </c>
      <c r="T165" s="8" t="s">
        <v>909</v>
      </c>
    </row>
    <row r="166" spans="1:20">
      <c r="A166" s="5" t="s">
        <v>343</v>
      </c>
      <c r="B166" s="5" t="s">
        <v>344</v>
      </c>
      <c r="C166" s="5" t="s">
        <v>67</v>
      </c>
      <c r="D166" s="5">
        <v>2</v>
      </c>
      <c r="E166" s="6" t="s">
        <v>266</v>
      </c>
      <c r="F166" s="10">
        <v>700</v>
      </c>
      <c r="G166" s="7">
        <v>10.826019909094125</v>
      </c>
      <c r="H166" s="7">
        <v>12.793239322323599</v>
      </c>
      <c r="I166" s="7">
        <v>14.123870285814286</v>
      </c>
      <c r="J166" s="7">
        <v>15.820595297327982</v>
      </c>
      <c r="K166" s="7">
        <v>17.122033827349984</v>
      </c>
      <c r="L166" s="7">
        <v>18.513994744353869</v>
      </c>
      <c r="M166" s="7">
        <v>7.9941208146713114</v>
      </c>
      <c r="N166" s="7">
        <v>11.2</v>
      </c>
      <c r="O166" s="7">
        <v>11</v>
      </c>
      <c r="P166" s="7">
        <f t="shared" si="2"/>
        <v>-0.19999999999999929</v>
      </c>
      <c r="Q166" s="17">
        <v>97.193874200935142</v>
      </c>
      <c r="R166" s="14">
        <v>83</v>
      </c>
      <c r="S166" s="7">
        <v>-14.193874200935142</v>
      </c>
      <c r="T166" s="8" t="s">
        <v>910</v>
      </c>
    </row>
    <row r="167" spans="1:20">
      <c r="A167" s="5" t="s">
        <v>345</v>
      </c>
      <c r="B167" s="5" t="s">
        <v>346</v>
      </c>
      <c r="C167" s="5" t="s">
        <v>67</v>
      </c>
      <c r="D167" s="5">
        <v>1</v>
      </c>
      <c r="E167" s="6" t="s">
        <v>266</v>
      </c>
      <c r="F167" s="10">
        <v>700</v>
      </c>
      <c r="G167" s="7">
        <v>10.826019909094125</v>
      </c>
      <c r="H167" s="7">
        <v>12.793239322323599</v>
      </c>
      <c r="I167" s="7">
        <v>14.123870285814286</v>
      </c>
      <c r="J167" s="7">
        <v>15.820595297327982</v>
      </c>
      <c r="K167" s="7">
        <v>17.122033827349984</v>
      </c>
      <c r="L167" s="7">
        <v>18.513994744353869</v>
      </c>
      <c r="M167" s="7">
        <v>7.9941208146713114</v>
      </c>
      <c r="N167" s="7">
        <v>13.4</v>
      </c>
      <c r="O167" s="7">
        <v>15.2</v>
      </c>
      <c r="P167" s="7">
        <f t="shared" si="2"/>
        <v>1.7999999999999989</v>
      </c>
      <c r="Q167" s="17">
        <v>97.193874200935142</v>
      </c>
      <c r="R167" s="14">
        <v>119</v>
      </c>
      <c r="S167" s="7">
        <v>21.806125799064858</v>
      </c>
      <c r="T167" s="8" t="s">
        <v>909</v>
      </c>
    </row>
    <row r="168" spans="1:20">
      <c r="A168" s="5" t="s">
        <v>347</v>
      </c>
      <c r="B168" s="5" t="s">
        <v>348</v>
      </c>
      <c r="C168" s="5" t="s">
        <v>67</v>
      </c>
      <c r="D168" s="5">
        <v>1</v>
      </c>
      <c r="E168" s="6" t="s">
        <v>266</v>
      </c>
      <c r="F168" s="10">
        <v>700</v>
      </c>
      <c r="G168" s="7">
        <v>10.826019909094125</v>
      </c>
      <c r="H168" s="7">
        <v>12.793239322323599</v>
      </c>
      <c r="I168" s="7">
        <v>14.123870285814286</v>
      </c>
      <c r="J168" s="7">
        <v>15.820595297327982</v>
      </c>
      <c r="K168" s="7">
        <v>17.122033827349984</v>
      </c>
      <c r="L168" s="7">
        <v>18.513994744353869</v>
      </c>
      <c r="M168" s="7">
        <v>7.9941208146713114</v>
      </c>
      <c r="N168" s="7">
        <v>10</v>
      </c>
      <c r="O168" s="7">
        <v>13.6</v>
      </c>
      <c r="P168" s="7">
        <f t="shared" si="2"/>
        <v>3.5999999999999996</v>
      </c>
      <c r="Q168" s="17">
        <v>97.193874200935142</v>
      </c>
      <c r="R168" s="14">
        <v>103</v>
      </c>
      <c r="S168" s="7">
        <v>5.8061257990648585</v>
      </c>
      <c r="T168" s="8" t="s">
        <v>909</v>
      </c>
    </row>
    <row r="169" spans="1:20">
      <c r="A169" s="5" t="s">
        <v>349</v>
      </c>
      <c r="B169" s="5" t="s">
        <v>350</v>
      </c>
      <c r="C169" s="5" t="s">
        <v>18</v>
      </c>
      <c r="D169" s="5">
        <v>2</v>
      </c>
      <c r="E169" s="6" t="s">
        <v>266</v>
      </c>
      <c r="F169" s="10">
        <v>700</v>
      </c>
      <c r="G169" s="7">
        <v>10.671362481821353</v>
      </c>
      <c r="H169" s="7">
        <v>12.61047876057612</v>
      </c>
      <c r="I169" s="7">
        <v>13.922100710302654</v>
      </c>
      <c r="J169" s="7">
        <v>15.59458679308044</v>
      </c>
      <c r="K169" s="7">
        <v>16.877433344102126</v>
      </c>
      <c r="L169" s="7">
        <v>18.249509105148814</v>
      </c>
      <c r="M169" s="7">
        <v>7.8799190887474362</v>
      </c>
      <c r="N169" s="7">
        <v>12.5</v>
      </c>
      <c r="O169" s="7">
        <v>14.8</v>
      </c>
      <c r="P169" s="7">
        <f t="shared" si="2"/>
        <v>2.3000000000000007</v>
      </c>
      <c r="Q169" s="17">
        <v>95.805390283778948</v>
      </c>
      <c r="R169" s="14">
        <v>95</v>
      </c>
      <c r="S169" s="7">
        <v>-0.80539028377894795</v>
      </c>
      <c r="T169" s="8" t="s">
        <v>910</v>
      </c>
    </row>
    <row r="170" spans="1:20">
      <c r="A170" s="5" t="s">
        <v>351</v>
      </c>
      <c r="B170" s="5" t="s">
        <v>352</v>
      </c>
      <c r="C170" s="5" t="s">
        <v>18</v>
      </c>
      <c r="D170" s="5">
        <v>2</v>
      </c>
      <c r="E170" s="6" t="s">
        <v>266</v>
      </c>
      <c r="F170" s="10">
        <v>700</v>
      </c>
      <c r="G170" s="7">
        <v>10.671362481821353</v>
      </c>
      <c r="H170" s="7">
        <v>12.61047876057612</v>
      </c>
      <c r="I170" s="7">
        <v>13.922100710302654</v>
      </c>
      <c r="J170" s="7">
        <v>15.59458679308044</v>
      </c>
      <c r="K170" s="7">
        <v>16.877433344102126</v>
      </c>
      <c r="L170" s="7">
        <v>18.249509105148814</v>
      </c>
      <c r="M170" s="7">
        <v>7.8799190887474362</v>
      </c>
      <c r="N170" s="7">
        <v>10.6</v>
      </c>
      <c r="O170" s="7">
        <v>14.6</v>
      </c>
      <c r="P170" s="7">
        <f t="shared" si="2"/>
        <v>4</v>
      </c>
      <c r="Q170" s="17">
        <v>95.805390283778948</v>
      </c>
      <c r="R170" s="14">
        <v>104</v>
      </c>
      <c r="S170" s="7">
        <v>8.1946097162210521</v>
      </c>
      <c r="T170" s="8" t="s">
        <v>909</v>
      </c>
    </row>
    <row r="171" spans="1:20">
      <c r="A171" s="5" t="s">
        <v>353</v>
      </c>
      <c r="B171" s="5" t="s">
        <v>354</v>
      </c>
      <c r="C171" s="5" t="s">
        <v>18</v>
      </c>
      <c r="D171" s="5">
        <v>3</v>
      </c>
      <c r="E171" s="6" t="s">
        <v>266</v>
      </c>
      <c r="F171" s="10">
        <v>700</v>
      </c>
      <c r="G171" s="7">
        <v>10.671362481821353</v>
      </c>
      <c r="H171" s="7">
        <v>12.61047876057612</v>
      </c>
      <c r="I171" s="7">
        <v>13.922100710302654</v>
      </c>
      <c r="J171" s="7">
        <v>15.59458679308044</v>
      </c>
      <c r="K171" s="7">
        <v>16.877433344102126</v>
      </c>
      <c r="L171" s="7">
        <v>18.249509105148814</v>
      </c>
      <c r="M171" s="7">
        <v>7.8799190887474362</v>
      </c>
      <c r="N171" s="7">
        <v>13.3</v>
      </c>
      <c r="O171" s="7">
        <v>15.6</v>
      </c>
      <c r="P171" s="7">
        <f t="shared" si="2"/>
        <v>2.2999999999999989</v>
      </c>
      <c r="Q171" s="17">
        <v>95.805390283778948</v>
      </c>
      <c r="R171" s="14">
        <v>95</v>
      </c>
      <c r="S171" s="7">
        <v>-0.80539028377894795</v>
      </c>
      <c r="T171" s="8" t="s">
        <v>910</v>
      </c>
    </row>
    <row r="172" spans="1:20">
      <c r="A172" s="5" t="s">
        <v>355</v>
      </c>
      <c r="B172" s="5" t="s">
        <v>356</v>
      </c>
      <c r="C172" s="5" t="s">
        <v>18</v>
      </c>
      <c r="D172" s="5">
        <v>2</v>
      </c>
      <c r="E172" s="6" t="s">
        <v>266</v>
      </c>
      <c r="F172" s="10">
        <v>700</v>
      </c>
      <c r="G172" s="7">
        <v>10.516705054548579</v>
      </c>
      <c r="H172" s="7">
        <v>12.427718198828638</v>
      </c>
      <c r="I172" s="7">
        <v>13.720331134791021</v>
      </c>
      <c r="J172" s="7">
        <v>15.368578288832897</v>
      </c>
      <c r="K172" s="7">
        <v>16.632832860854268</v>
      </c>
      <c r="L172" s="7">
        <v>17.985023465943758</v>
      </c>
      <c r="M172" s="7">
        <v>7.7657173628235601</v>
      </c>
      <c r="N172" s="7">
        <v>9.3000000000000007</v>
      </c>
      <c r="O172" s="7">
        <v>14</v>
      </c>
      <c r="P172" s="7">
        <f t="shared" si="2"/>
        <v>4.6999999999999993</v>
      </c>
      <c r="Q172" s="17">
        <v>94.416906366622712</v>
      </c>
      <c r="R172" s="14">
        <v>90</v>
      </c>
      <c r="S172" s="7">
        <v>-4.4169063666227117</v>
      </c>
      <c r="T172" s="8" t="s">
        <v>910</v>
      </c>
    </row>
    <row r="173" spans="1:20">
      <c r="A173" s="5" t="s">
        <v>357</v>
      </c>
      <c r="B173" s="5" t="s">
        <v>358</v>
      </c>
      <c r="C173" s="5" t="s">
        <v>18</v>
      </c>
      <c r="D173" s="5">
        <v>3</v>
      </c>
      <c r="E173" s="6" t="s">
        <v>266</v>
      </c>
      <c r="F173" s="10">
        <v>700</v>
      </c>
      <c r="G173" s="7">
        <v>10.516705054548579</v>
      </c>
      <c r="H173" s="7">
        <v>12.427718198828638</v>
      </c>
      <c r="I173" s="7">
        <v>13.720331134791021</v>
      </c>
      <c r="J173" s="7">
        <v>15.368578288832897</v>
      </c>
      <c r="K173" s="7">
        <v>16.632832860854268</v>
      </c>
      <c r="L173" s="7">
        <v>17.985023465943758</v>
      </c>
      <c r="M173" s="7">
        <v>7.7657173628235601</v>
      </c>
      <c r="N173" s="7">
        <v>9.9</v>
      </c>
      <c r="O173" s="7">
        <v>9.1999999999999993</v>
      </c>
      <c r="P173" s="7">
        <f t="shared" si="2"/>
        <v>-0.70000000000000107</v>
      </c>
      <c r="Q173" s="17">
        <v>94.416906366622712</v>
      </c>
      <c r="R173" s="14">
        <v>72</v>
      </c>
      <c r="S173" s="7">
        <v>-22.416906366622712</v>
      </c>
      <c r="T173" s="8" t="s">
        <v>910</v>
      </c>
    </row>
    <row r="174" spans="1:20">
      <c r="A174" s="5" t="s">
        <v>359</v>
      </c>
      <c r="B174" s="5" t="s">
        <v>360</v>
      </c>
      <c r="C174" s="5" t="s">
        <v>18</v>
      </c>
      <c r="D174" s="5">
        <v>2</v>
      </c>
      <c r="E174" s="6" t="s">
        <v>266</v>
      </c>
      <c r="F174" s="10">
        <v>700</v>
      </c>
      <c r="G174" s="7">
        <v>10.516705054548579</v>
      </c>
      <c r="H174" s="7">
        <v>12.427718198828638</v>
      </c>
      <c r="I174" s="7">
        <v>13.720331134791021</v>
      </c>
      <c r="J174" s="7">
        <v>15.368578288832897</v>
      </c>
      <c r="K174" s="7">
        <v>16.632832860854268</v>
      </c>
      <c r="L174" s="7">
        <v>17.985023465943758</v>
      </c>
      <c r="M174" s="7">
        <v>7.7657173628235601</v>
      </c>
      <c r="N174" s="7">
        <v>11.3</v>
      </c>
      <c r="O174" s="7">
        <v>9.8000000000000007</v>
      </c>
      <c r="P174" s="7">
        <f t="shared" si="2"/>
        <v>-1.5</v>
      </c>
      <c r="Q174" s="17">
        <v>94.416906366622712</v>
      </c>
      <c r="R174" s="14">
        <v>77</v>
      </c>
      <c r="S174" s="7">
        <v>-17.416906366622712</v>
      </c>
      <c r="T174" s="8" t="s">
        <v>910</v>
      </c>
    </row>
    <row r="175" spans="1:20">
      <c r="A175" s="5" t="s">
        <v>361</v>
      </c>
      <c r="B175" s="5" t="s">
        <v>362</v>
      </c>
      <c r="C175" s="5" t="s">
        <v>67</v>
      </c>
      <c r="D175" s="5">
        <v>1</v>
      </c>
      <c r="E175" s="6" t="s">
        <v>266</v>
      </c>
      <c r="F175" s="10">
        <v>700</v>
      </c>
      <c r="G175" s="7">
        <v>10.516705054548579</v>
      </c>
      <c r="H175" s="7">
        <v>12.427718198828638</v>
      </c>
      <c r="I175" s="7">
        <v>13.720331134791021</v>
      </c>
      <c r="J175" s="7">
        <v>15.368578288832897</v>
      </c>
      <c r="K175" s="7">
        <v>16.632832860854268</v>
      </c>
      <c r="L175" s="7">
        <v>17.985023465943758</v>
      </c>
      <c r="M175" s="7">
        <v>7.7657173628235601</v>
      </c>
      <c r="N175" s="7">
        <v>10.9</v>
      </c>
      <c r="O175" s="7">
        <v>15</v>
      </c>
      <c r="P175" s="7">
        <f t="shared" si="2"/>
        <v>4.0999999999999996</v>
      </c>
      <c r="Q175" s="17">
        <v>94.416906366622712</v>
      </c>
      <c r="R175" s="14">
        <v>106</v>
      </c>
      <c r="S175" s="7">
        <v>11.583093633377288</v>
      </c>
      <c r="T175" s="8" t="s">
        <v>909</v>
      </c>
    </row>
    <row r="176" spans="1:20">
      <c r="A176" s="5" t="s">
        <v>363</v>
      </c>
      <c r="B176" s="5" t="s">
        <v>364</v>
      </c>
      <c r="C176" s="5" t="s">
        <v>18</v>
      </c>
      <c r="D176" s="5">
        <v>1</v>
      </c>
      <c r="E176" s="6" t="s">
        <v>266</v>
      </c>
      <c r="F176" s="10">
        <v>700</v>
      </c>
      <c r="G176" s="7">
        <v>10.516705054548579</v>
      </c>
      <c r="H176" s="7">
        <v>12.427718198828638</v>
      </c>
      <c r="I176" s="7">
        <v>13.720331134791021</v>
      </c>
      <c r="J176" s="7">
        <v>15.368578288832897</v>
      </c>
      <c r="K176" s="7">
        <v>16.632832860854268</v>
      </c>
      <c r="L176" s="7">
        <v>17.985023465943758</v>
      </c>
      <c r="M176" s="7">
        <v>7.7657173628235601</v>
      </c>
      <c r="N176" s="7">
        <v>15.6</v>
      </c>
      <c r="O176" s="7">
        <v>23.4</v>
      </c>
      <c r="P176" s="7">
        <f t="shared" si="2"/>
        <v>7.7999999999999989</v>
      </c>
      <c r="Q176" s="17">
        <v>94.416906366622712</v>
      </c>
      <c r="R176" s="14">
        <v>156</v>
      </c>
      <c r="S176" s="7">
        <v>61.583093633377288</v>
      </c>
      <c r="T176" s="8" t="s">
        <v>909</v>
      </c>
    </row>
    <row r="177" spans="1:20">
      <c r="A177" s="5" t="s">
        <v>365</v>
      </c>
      <c r="B177" s="5" t="s">
        <v>366</v>
      </c>
      <c r="C177" s="5" t="s">
        <v>18</v>
      </c>
      <c r="D177" s="5">
        <v>2</v>
      </c>
      <c r="E177" s="6" t="s">
        <v>266</v>
      </c>
      <c r="F177" s="10">
        <v>700</v>
      </c>
      <c r="G177" s="7">
        <v>10.516705054548579</v>
      </c>
      <c r="H177" s="7">
        <v>12.427718198828638</v>
      </c>
      <c r="I177" s="7">
        <v>13.720331134791021</v>
      </c>
      <c r="J177" s="7">
        <v>15.368578288832897</v>
      </c>
      <c r="K177" s="7">
        <v>16.632832860854268</v>
      </c>
      <c r="L177" s="7">
        <v>17.985023465943758</v>
      </c>
      <c r="M177" s="7">
        <v>7.7657173628235601</v>
      </c>
      <c r="N177" s="7">
        <v>14.5</v>
      </c>
      <c r="O177" s="7">
        <v>11.2</v>
      </c>
      <c r="P177" s="7">
        <f t="shared" si="2"/>
        <v>-3.3000000000000007</v>
      </c>
      <c r="Q177" s="17">
        <v>94.416906366622712</v>
      </c>
      <c r="R177" s="14">
        <v>81</v>
      </c>
      <c r="S177" s="7">
        <v>-13.416906366622712</v>
      </c>
      <c r="T177" s="8" t="s">
        <v>910</v>
      </c>
    </row>
    <row r="178" spans="1:20">
      <c r="A178" s="5" t="s">
        <v>367</v>
      </c>
      <c r="B178" s="5" t="s">
        <v>368</v>
      </c>
      <c r="C178" s="5" t="s">
        <v>18</v>
      </c>
      <c r="D178" s="5">
        <v>1</v>
      </c>
      <c r="E178" s="6" t="s">
        <v>266</v>
      </c>
      <c r="F178" s="10">
        <v>700</v>
      </c>
      <c r="G178" s="7">
        <v>10.362047627275805</v>
      </c>
      <c r="H178" s="7">
        <v>12.244957637081161</v>
      </c>
      <c r="I178" s="7">
        <v>13.518561559279389</v>
      </c>
      <c r="J178" s="7">
        <v>15.142569784585357</v>
      </c>
      <c r="K178" s="7">
        <v>16.38823237760641</v>
      </c>
      <c r="L178" s="7">
        <v>17.720537826738703</v>
      </c>
      <c r="M178" s="7">
        <v>7.6515156368996839</v>
      </c>
      <c r="N178" s="7">
        <v>13.8</v>
      </c>
      <c r="O178" s="7">
        <v>13.4</v>
      </c>
      <c r="P178" s="7">
        <f t="shared" si="2"/>
        <v>-0.40000000000000036</v>
      </c>
      <c r="Q178" s="17">
        <v>93.028422449466518</v>
      </c>
      <c r="R178" s="14">
        <v>96</v>
      </c>
      <c r="S178" s="7">
        <v>2.9715775505334818</v>
      </c>
      <c r="T178" s="8" t="s">
        <v>909</v>
      </c>
    </row>
    <row r="179" spans="1:20">
      <c r="A179" s="5" t="s">
        <v>369</v>
      </c>
      <c r="B179" s="5" t="s">
        <v>370</v>
      </c>
      <c r="C179" s="5" t="s">
        <v>18</v>
      </c>
      <c r="D179" s="5">
        <v>2</v>
      </c>
      <c r="E179" s="6" t="s">
        <v>266</v>
      </c>
      <c r="F179" s="10">
        <v>700</v>
      </c>
      <c r="G179" s="7">
        <v>10.362047627275805</v>
      </c>
      <c r="H179" s="7">
        <v>12.244957637081161</v>
      </c>
      <c r="I179" s="7">
        <v>13.518561559279389</v>
      </c>
      <c r="J179" s="7">
        <v>15.142569784585357</v>
      </c>
      <c r="K179" s="7">
        <v>16.38823237760641</v>
      </c>
      <c r="L179" s="7">
        <v>17.720537826738703</v>
      </c>
      <c r="M179" s="7">
        <v>7.6515156368996839</v>
      </c>
      <c r="N179" s="7">
        <v>12.5</v>
      </c>
      <c r="O179" s="7">
        <v>11.2</v>
      </c>
      <c r="P179" s="7">
        <f t="shared" si="2"/>
        <v>-1.3000000000000007</v>
      </c>
      <c r="Q179" s="17">
        <v>93.028422449466518</v>
      </c>
      <c r="R179" s="14">
        <v>77</v>
      </c>
      <c r="S179" s="7">
        <v>-16.028422449466518</v>
      </c>
      <c r="T179" s="8" t="s">
        <v>910</v>
      </c>
    </row>
    <row r="180" spans="1:20">
      <c r="A180" s="5" t="s">
        <v>371</v>
      </c>
      <c r="B180" s="5" t="s">
        <v>372</v>
      </c>
      <c r="C180" s="5" t="s">
        <v>67</v>
      </c>
      <c r="D180" s="5">
        <v>1</v>
      </c>
      <c r="E180" s="6" t="s">
        <v>266</v>
      </c>
      <c r="F180" s="10">
        <v>700</v>
      </c>
      <c r="G180" s="7">
        <v>10.362047627275805</v>
      </c>
      <c r="H180" s="7">
        <v>12.244957637081161</v>
      </c>
      <c r="I180" s="7">
        <v>13.518561559279389</v>
      </c>
      <c r="J180" s="7">
        <v>15.142569784585357</v>
      </c>
      <c r="K180" s="7">
        <v>16.38823237760641</v>
      </c>
      <c r="L180" s="7">
        <v>17.720537826738703</v>
      </c>
      <c r="M180" s="7">
        <v>7.6515156368996839</v>
      </c>
      <c r="N180" s="7">
        <v>9.6</v>
      </c>
      <c r="O180" s="7">
        <v>9</v>
      </c>
      <c r="P180" s="7">
        <f t="shared" si="2"/>
        <v>-0.59999999999999964</v>
      </c>
      <c r="Q180" s="17">
        <v>93.028422449466518</v>
      </c>
      <c r="R180" s="14">
        <v>76</v>
      </c>
      <c r="S180" s="7">
        <v>-17.028422449466518</v>
      </c>
      <c r="T180" s="8" t="s">
        <v>910</v>
      </c>
    </row>
    <row r="181" spans="1:20">
      <c r="A181" s="5" t="s">
        <v>373</v>
      </c>
      <c r="B181" s="5" t="s">
        <v>374</v>
      </c>
      <c r="C181" s="5" t="s">
        <v>18</v>
      </c>
      <c r="D181" s="5">
        <v>3</v>
      </c>
      <c r="E181" s="6" t="s">
        <v>266</v>
      </c>
      <c r="F181" s="10">
        <v>700</v>
      </c>
      <c r="G181" s="7">
        <v>10.362047627275805</v>
      </c>
      <c r="H181" s="7">
        <v>12.244957637081161</v>
      </c>
      <c r="I181" s="7">
        <v>13.518561559279389</v>
      </c>
      <c r="J181" s="7">
        <v>15.142569784585357</v>
      </c>
      <c r="K181" s="7">
        <v>16.38823237760641</v>
      </c>
      <c r="L181" s="7">
        <v>17.720537826738703</v>
      </c>
      <c r="M181" s="7">
        <v>7.6515156368996839</v>
      </c>
      <c r="N181" s="7">
        <v>12.4</v>
      </c>
      <c r="O181" s="7">
        <v>10.8</v>
      </c>
      <c r="P181" s="7">
        <f t="shared" si="2"/>
        <v>-1.5999999999999996</v>
      </c>
      <c r="Q181" s="17">
        <v>93.028422449466518</v>
      </c>
      <c r="R181" s="14">
        <v>75</v>
      </c>
      <c r="S181" s="7">
        <v>-18.028422449466518</v>
      </c>
      <c r="T181" s="8" t="s">
        <v>910</v>
      </c>
    </row>
    <row r="182" spans="1:20">
      <c r="A182" s="5" t="s">
        <v>375</v>
      </c>
      <c r="B182" s="5" t="s">
        <v>376</v>
      </c>
      <c r="C182" s="5" t="s">
        <v>18</v>
      </c>
      <c r="D182" s="5">
        <v>3</v>
      </c>
      <c r="E182" s="6" t="s">
        <v>266</v>
      </c>
      <c r="F182" s="10">
        <v>700</v>
      </c>
      <c r="G182" s="7">
        <v>10.207390200003031</v>
      </c>
      <c r="H182" s="7">
        <v>12.062197075333678</v>
      </c>
      <c r="I182" s="7">
        <v>13.316791983767754</v>
      </c>
      <c r="J182" s="7">
        <v>14.916561280337811</v>
      </c>
      <c r="K182" s="7">
        <v>16.143631894358556</v>
      </c>
      <c r="L182" s="7">
        <v>17.456052187533647</v>
      </c>
      <c r="M182" s="7">
        <v>7.5373139109758078</v>
      </c>
      <c r="N182" s="7">
        <v>14.6</v>
      </c>
      <c r="O182" s="7">
        <v>11.8</v>
      </c>
      <c r="P182" s="7">
        <f t="shared" si="2"/>
        <v>-2.7999999999999989</v>
      </c>
      <c r="Q182" s="17">
        <v>91.639938532310282</v>
      </c>
      <c r="R182" s="14">
        <v>111</v>
      </c>
      <c r="S182" s="7">
        <v>19.360061467689718</v>
      </c>
      <c r="T182" s="8" t="s">
        <v>909</v>
      </c>
    </row>
    <row r="183" spans="1:20">
      <c r="A183" s="5" t="s">
        <v>377</v>
      </c>
      <c r="B183" s="5" t="s">
        <v>378</v>
      </c>
      <c r="C183" s="5" t="s">
        <v>18</v>
      </c>
      <c r="D183" s="5">
        <v>3</v>
      </c>
      <c r="E183" s="6" t="s">
        <v>266</v>
      </c>
      <c r="F183" s="10">
        <v>700</v>
      </c>
      <c r="G183" s="7">
        <v>10.207390200003031</v>
      </c>
      <c r="H183" s="7">
        <v>12.062197075333678</v>
      </c>
      <c r="I183" s="7">
        <v>13.316791983767754</v>
      </c>
      <c r="J183" s="7">
        <v>14.916561280337811</v>
      </c>
      <c r="K183" s="7">
        <v>16.143631894358556</v>
      </c>
      <c r="L183" s="7">
        <v>17.456052187533647</v>
      </c>
      <c r="M183" s="7">
        <v>7.5373139109758078</v>
      </c>
      <c r="N183" s="7">
        <v>7.2</v>
      </c>
      <c r="O183" s="7">
        <v>7.8</v>
      </c>
      <c r="P183" s="7">
        <f t="shared" si="2"/>
        <v>0.59999999999999964</v>
      </c>
      <c r="Q183" s="17">
        <v>91.639938532310282</v>
      </c>
      <c r="R183" s="14">
        <v>55</v>
      </c>
      <c r="S183" s="7">
        <v>-36.639938532310282</v>
      </c>
      <c r="T183" s="8" t="s">
        <v>910</v>
      </c>
    </row>
    <row r="184" spans="1:20">
      <c r="A184" s="5" t="s">
        <v>379</v>
      </c>
      <c r="B184" s="5" t="s">
        <v>380</v>
      </c>
      <c r="C184" s="5" t="s">
        <v>18</v>
      </c>
      <c r="D184" s="5">
        <v>4</v>
      </c>
      <c r="E184" s="6" t="s">
        <v>266</v>
      </c>
      <c r="F184" s="10">
        <v>700</v>
      </c>
      <c r="G184" s="7">
        <v>10.207390200003031</v>
      </c>
      <c r="H184" s="7">
        <v>12.062197075333678</v>
      </c>
      <c r="I184" s="7">
        <v>13.316791983767754</v>
      </c>
      <c r="J184" s="7">
        <v>14.916561280337811</v>
      </c>
      <c r="K184" s="7">
        <v>16.143631894358556</v>
      </c>
      <c r="L184" s="7">
        <v>17.456052187533647</v>
      </c>
      <c r="M184" s="7">
        <v>7.5373139109758078</v>
      </c>
      <c r="N184" s="7">
        <v>14</v>
      </c>
      <c r="O184" s="7">
        <v>10.6</v>
      </c>
      <c r="P184" s="7">
        <f t="shared" si="2"/>
        <v>-3.4000000000000004</v>
      </c>
      <c r="Q184" s="17">
        <v>91.639938532310282</v>
      </c>
      <c r="R184" s="14">
        <v>71</v>
      </c>
      <c r="S184" s="7">
        <v>-20.639938532310282</v>
      </c>
      <c r="T184" s="8" t="s">
        <v>910</v>
      </c>
    </row>
    <row r="185" spans="1:20">
      <c r="A185" s="5" t="s">
        <v>381</v>
      </c>
      <c r="B185" s="5" t="s">
        <v>382</v>
      </c>
      <c r="C185" s="5" t="s">
        <v>67</v>
      </c>
      <c r="D185" s="5">
        <v>1</v>
      </c>
      <c r="E185" s="6" t="s">
        <v>266</v>
      </c>
      <c r="F185" s="10">
        <v>700</v>
      </c>
      <c r="G185" s="7">
        <v>10.207390200003031</v>
      </c>
      <c r="H185" s="7">
        <v>12.062197075333678</v>
      </c>
      <c r="I185" s="7">
        <v>13.316791983767754</v>
      </c>
      <c r="J185" s="7">
        <v>14.916561280337811</v>
      </c>
      <c r="K185" s="7">
        <v>16.143631894358556</v>
      </c>
      <c r="L185" s="7">
        <v>17.456052187533647</v>
      </c>
      <c r="M185" s="7">
        <v>7.5373139109758078</v>
      </c>
      <c r="N185" s="7">
        <v>14.1</v>
      </c>
      <c r="O185" s="7">
        <v>14.8</v>
      </c>
      <c r="P185" s="7">
        <f t="shared" si="2"/>
        <v>0.70000000000000107</v>
      </c>
      <c r="Q185" s="17">
        <v>91.639938532310282</v>
      </c>
      <c r="R185" s="14">
        <v>113</v>
      </c>
      <c r="S185" s="7">
        <v>21.360061467689718</v>
      </c>
      <c r="T185" s="8" t="s">
        <v>909</v>
      </c>
    </row>
    <row r="186" spans="1:20">
      <c r="A186" s="5" t="s">
        <v>383</v>
      </c>
      <c r="B186" s="5" t="s">
        <v>384</v>
      </c>
      <c r="C186" s="5" t="s">
        <v>18</v>
      </c>
      <c r="D186" s="5">
        <v>0</v>
      </c>
      <c r="E186" s="6" t="s">
        <v>266</v>
      </c>
      <c r="F186" s="10">
        <v>700</v>
      </c>
      <c r="G186" s="7">
        <v>10.207390200003031</v>
      </c>
      <c r="H186" s="7">
        <v>12.062197075333678</v>
      </c>
      <c r="I186" s="7">
        <v>13.316791983767754</v>
      </c>
      <c r="J186" s="7">
        <v>14.916561280337811</v>
      </c>
      <c r="K186" s="7">
        <v>16.143631894358556</v>
      </c>
      <c r="L186" s="7">
        <v>17.456052187533647</v>
      </c>
      <c r="M186" s="7">
        <v>7.5373139109758078</v>
      </c>
      <c r="N186" s="7">
        <v>12.6</v>
      </c>
      <c r="O186" s="7">
        <v>20</v>
      </c>
      <c r="P186" s="7">
        <f t="shared" si="2"/>
        <v>7.4</v>
      </c>
      <c r="Q186" s="17">
        <v>91.639938532310282</v>
      </c>
      <c r="R186" s="14">
        <v>138</v>
      </c>
      <c r="S186" s="7">
        <v>46.360061467689718</v>
      </c>
      <c r="T186" s="8" t="s">
        <v>909</v>
      </c>
    </row>
    <row r="187" spans="1:20">
      <c r="A187" s="5" t="s">
        <v>385</v>
      </c>
      <c r="B187" s="5" t="s">
        <v>386</v>
      </c>
      <c r="C187" s="5" t="s">
        <v>18</v>
      </c>
      <c r="D187" s="5">
        <v>2</v>
      </c>
      <c r="E187" s="6" t="s">
        <v>266</v>
      </c>
      <c r="F187" s="10">
        <v>700</v>
      </c>
      <c r="G187" s="7">
        <v>10.052732772730261</v>
      </c>
      <c r="H187" s="7">
        <v>11.879436513586199</v>
      </c>
      <c r="I187" s="7">
        <v>13.115022408256122</v>
      </c>
      <c r="J187" s="7">
        <v>14.69055277609027</v>
      </c>
      <c r="K187" s="7">
        <v>15.8990314111107</v>
      </c>
      <c r="L187" s="7">
        <v>17.191566548328595</v>
      </c>
      <c r="M187" s="7">
        <v>7.4231121850519335</v>
      </c>
      <c r="N187" s="7">
        <v>11.9</v>
      </c>
      <c r="O187" s="7">
        <v>6.6</v>
      </c>
      <c r="P187" s="7">
        <f t="shared" si="2"/>
        <v>-5.3000000000000007</v>
      </c>
      <c r="Q187" s="17">
        <v>90.251454615154088</v>
      </c>
      <c r="R187" s="14">
        <v>51</v>
      </c>
      <c r="S187" s="7">
        <v>-39.251454615154088</v>
      </c>
      <c r="T187" s="8" t="s">
        <v>910</v>
      </c>
    </row>
    <row r="188" spans="1:20">
      <c r="A188" s="5" t="s">
        <v>387</v>
      </c>
      <c r="B188" s="5" t="s">
        <v>388</v>
      </c>
      <c r="C188" s="5" t="s">
        <v>18</v>
      </c>
      <c r="D188" s="5">
        <v>1</v>
      </c>
      <c r="E188" s="6" t="s">
        <v>266</v>
      </c>
      <c r="F188" s="10">
        <v>700</v>
      </c>
      <c r="G188" s="7">
        <v>10.052732772730261</v>
      </c>
      <c r="H188" s="7">
        <v>11.879436513586199</v>
      </c>
      <c r="I188" s="7">
        <v>13.115022408256122</v>
      </c>
      <c r="J188" s="7">
        <v>14.69055277609027</v>
      </c>
      <c r="K188" s="7">
        <v>15.8990314111107</v>
      </c>
      <c r="L188" s="7">
        <v>17.191566548328595</v>
      </c>
      <c r="M188" s="7">
        <v>7.4231121850519335</v>
      </c>
      <c r="N188" s="7">
        <v>10.6</v>
      </c>
      <c r="O188" s="7">
        <v>13</v>
      </c>
      <c r="P188" s="7">
        <f t="shared" si="2"/>
        <v>2.4000000000000004</v>
      </c>
      <c r="Q188" s="17">
        <v>90.251454615154088</v>
      </c>
      <c r="R188" s="14">
        <v>87</v>
      </c>
      <c r="S188" s="7">
        <v>-3.2514546151540884</v>
      </c>
      <c r="T188" s="8" t="s">
        <v>910</v>
      </c>
    </row>
    <row r="189" spans="1:20">
      <c r="A189" s="5" t="s">
        <v>389</v>
      </c>
      <c r="B189" s="5" t="s">
        <v>390</v>
      </c>
      <c r="C189" s="5" t="s">
        <v>18</v>
      </c>
      <c r="D189" s="5">
        <v>3</v>
      </c>
      <c r="E189" s="6" t="s">
        <v>266</v>
      </c>
      <c r="F189" s="10">
        <v>700</v>
      </c>
      <c r="G189" s="7">
        <v>10.052732772730261</v>
      </c>
      <c r="H189" s="7">
        <v>11.879436513586199</v>
      </c>
      <c r="I189" s="7">
        <v>13.115022408256122</v>
      </c>
      <c r="J189" s="7">
        <v>14.69055277609027</v>
      </c>
      <c r="K189" s="7">
        <v>15.8990314111107</v>
      </c>
      <c r="L189" s="7">
        <v>17.191566548328595</v>
      </c>
      <c r="M189" s="7">
        <v>7.4231121850519335</v>
      </c>
      <c r="N189" s="7">
        <v>13.3</v>
      </c>
      <c r="O189" s="7">
        <v>12.4</v>
      </c>
      <c r="P189" s="7">
        <f t="shared" si="2"/>
        <v>-0.90000000000000036</v>
      </c>
      <c r="Q189" s="17">
        <v>90.251454615154088</v>
      </c>
      <c r="R189" s="14">
        <v>90</v>
      </c>
      <c r="S189" s="7">
        <v>-0.2514546151540884</v>
      </c>
      <c r="T189" s="8" t="s">
        <v>910</v>
      </c>
    </row>
    <row r="190" spans="1:20">
      <c r="A190" s="5" t="s">
        <v>391</v>
      </c>
      <c r="B190" s="5" t="s">
        <v>392</v>
      </c>
      <c r="C190" s="5" t="s">
        <v>18</v>
      </c>
      <c r="D190" s="5">
        <v>4</v>
      </c>
      <c r="E190" s="6" t="s">
        <v>266</v>
      </c>
      <c r="F190" s="10">
        <v>700</v>
      </c>
      <c r="G190" s="7">
        <v>10.052732772730261</v>
      </c>
      <c r="H190" s="7">
        <v>11.879436513586199</v>
      </c>
      <c r="I190" s="7">
        <v>13.115022408256122</v>
      </c>
      <c r="J190" s="7">
        <v>14.69055277609027</v>
      </c>
      <c r="K190" s="7">
        <v>15.8990314111107</v>
      </c>
      <c r="L190" s="7">
        <v>17.191566548328595</v>
      </c>
      <c r="M190" s="7">
        <v>7.4231121850519335</v>
      </c>
      <c r="N190" s="7">
        <v>15.4</v>
      </c>
      <c r="O190" s="7">
        <v>12.2</v>
      </c>
      <c r="P190" s="7">
        <f t="shared" si="2"/>
        <v>-3.2000000000000011</v>
      </c>
      <c r="Q190" s="17">
        <v>90.251454615154088</v>
      </c>
      <c r="R190" s="14">
        <v>90</v>
      </c>
      <c r="S190" s="7">
        <v>-0.2514546151540884</v>
      </c>
      <c r="T190" s="8" t="s">
        <v>910</v>
      </c>
    </row>
    <row r="191" spans="1:20">
      <c r="A191" s="5" t="s">
        <v>393</v>
      </c>
      <c r="B191" s="5" t="s">
        <v>394</v>
      </c>
      <c r="C191" s="5" t="s">
        <v>18</v>
      </c>
      <c r="D191" s="5">
        <v>1</v>
      </c>
      <c r="E191" s="6" t="s">
        <v>266</v>
      </c>
      <c r="F191" s="10">
        <v>700</v>
      </c>
      <c r="G191" s="7">
        <v>10.052732772730261</v>
      </c>
      <c r="H191" s="7">
        <v>11.879436513586199</v>
      </c>
      <c r="I191" s="7">
        <v>13.115022408256122</v>
      </c>
      <c r="J191" s="7">
        <v>14.69055277609027</v>
      </c>
      <c r="K191" s="7">
        <v>15.8990314111107</v>
      </c>
      <c r="L191" s="7">
        <v>17.191566548328595</v>
      </c>
      <c r="M191" s="7">
        <v>7.4231121850519335</v>
      </c>
      <c r="N191" s="7">
        <v>14.1</v>
      </c>
      <c r="O191" s="7">
        <v>12.6</v>
      </c>
      <c r="P191" s="7">
        <f t="shared" si="2"/>
        <v>-1.5</v>
      </c>
      <c r="Q191" s="17">
        <v>90.251454615154088</v>
      </c>
      <c r="R191" s="14">
        <v>81</v>
      </c>
      <c r="S191" s="7">
        <v>-9.2514546151540884</v>
      </c>
      <c r="T191" s="8" t="s">
        <v>910</v>
      </c>
    </row>
    <row r="192" spans="1:20">
      <c r="A192" s="5" t="s">
        <v>395</v>
      </c>
      <c r="B192" s="5" t="s">
        <v>396</v>
      </c>
      <c r="C192" s="5" t="s">
        <v>18</v>
      </c>
      <c r="D192" s="5">
        <v>2</v>
      </c>
      <c r="E192" s="6" t="s">
        <v>266</v>
      </c>
      <c r="F192" s="10">
        <v>700</v>
      </c>
      <c r="G192" s="7">
        <v>9.898075345457487</v>
      </c>
      <c r="H192" s="7">
        <v>11.696675951838721</v>
      </c>
      <c r="I192" s="7">
        <v>12.91325283274449</v>
      </c>
      <c r="J192" s="7">
        <v>14.464544271842728</v>
      </c>
      <c r="K192" s="7">
        <v>15.654430927862842</v>
      </c>
      <c r="L192" s="7">
        <v>16.927080909123539</v>
      </c>
      <c r="M192" s="7">
        <v>7.3089104591280574</v>
      </c>
      <c r="N192" s="7">
        <v>10.7</v>
      </c>
      <c r="O192" s="7">
        <v>9.1999999999999993</v>
      </c>
      <c r="P192" s="7">
        <f t="shared" si="2"/>
        <v>-1.5</v>
      </c>
      <c r="Q192" s="17">
        <v>88.862970697997852</v>
      </c>
      <c r="R192" s="14">
        <v>70</v>
      </c>
      <c r="S192" s="7">
        <v>-18.862970697997852</v>
      </c>
      <c r="T192" s="8" t="s">
        <v>910</v>
      </c>
    </row>
    <row r="193" spans="1:20">
      <c r="A193" s="5" t="s">
        <v>397</v>
      </c>
      <c r="B193" s="5" t="s">
        <v>398</v>
      </c>
      <c r="C193" s="5" t="s">
        <v>18</v>
      </c>
      <c r="D193" s="5">
        <v>4</v>
      </c>
      <c r="E193" s="6" t="s">
        <v>266</v>
      </c>
      <c r="F193" s="10">
        <v>700</v>
      </c>
      <c r="G193" s="7">
        <v>9.898075345457487</v>
      </c>
      <c r="H193" s="7">
        <v>11.696675951838721</v>
      </c>
      <c r="I193" s="7">
        <v>12.91325283274449</v>
      </c>
      <c r="J193" s="7">
        <v>14.464544271842728</v>
      </c>
      <c r="K193" s="7">
        <v>15.654430927862842</v>
      </c>
      <c r="L193" s="7">
        <v>16.927080909123539</v>
      </c>
      <c r="M193" s="7">
        <v>7.3089104591280574</v>
      </c>
      <c r="N193" s="7">
        <v>14.8</v>
      </c>
      <c r="O193" s="7">
        <v>5</v>
      </c>
      <c r="P193" s="7">
        <f t="shared" si="2"/>
        <v>-9.8000000000000007</v>
      </c>
      <c r="Q193" s="17">
        <v>88.862970697997852</v>
      </c>
      <c r="R193" s="14">
        <v>40</v>
      </c>
      <c r="S193" s="7">
        <v>-48.862970697997852</v>
      </c>
      <c r="T193" s="8" t="s">
        <v>910</v>
      </c>
    </row>
    <row r="194" spans="1:20">
      <c r="A194" s="5" t="s">
        <v>399</v>
      </c>
      <c r="B194" s="5" t="s">
        <v>400</v>
      </c>
      <c r="C194" s="5" t="s">
        <v>18</v>
      </c>
      <c r="D194" s="5">
        <v>3</v>
      </c>
      <c r="E194" s="6" t="s">
        <v>266</v>
      </c>
      <c r="F194" s="10">
        <v>700</v>
      </c>
      <c r="G194" s="7">
        <v>9.898075345457487</v>
      </c>
      <c r="H194" s="7">
        <v>11.696675951838721</v>
      </c>
      <c r="I194" s="7">
        <v>12.91325283274449</v>
      </c>
      <c r="J194" s="7">
        <v>14.464544271842728</v>
      </c>
      <c r="K194" s="7">
        <v>15.654430927862842</v>
      </c>
      <c r="L194" s="7">
        <v>16.927080909123539</v>
      </c>
      <c r="M194" s="7">
        <v>7.3089104591280574</v>
      </c>
      <c r="N194" s="7">
        <v>14.6</v>
      </c>
      <c r="O194" s="7">
        <v>7.8</v>
      </c>
      <c r="P194" s="7">
        <f t="shared" si="2"/>
        <v>-6.8</v>
      </c>
      <c r="Q194" s="17">
        <v>88.862970697997852</v>
      </c>
      <c r="R194" s="14">
        <v>56</v>
      </c>
      <c r="S194" s="7">
        <v>-32.862970697997852</v>
      </c>
      <c r="T194" s="8" t="s">
        <v>910</v>
      </c>
    </row>
    <row r="195" spans="1:20">
      <c r="A195" s="5" t="s">
        <v>401</v>
      </c>
      <c r="B195" s="5" t="s">
        <v>402</v>
      </c>
      <c r="C195" s="5" t="s">
        <v>18</v>
      </c>
      <c r="D195" s="5">
        <v>2</v>
      </c>
      <c r="E195" s="6" t="s">
        <v>266</v>
      </c>
      <c r="F195" s="10">
        <v>700</v>
      </c>
      <c r="G195" s="7">
        <v>9.898075345457487</v>
      </c>
      <c r="H195" s="7">
        <v>11.696675951838721</v>
      </c>
      <c r="I195" s="7">
        <v>12.91325283274449</v>
      </c>
      <c r="J195" s="7">
        <v>14.464544271842728</v>
      </c>
      <c r="K195" s="7">
        <v>15.654430927862842</v>
      </c>
      <c r="L195" s="7">
        <v>16.927080909123539</v>
      </c>
      <c r="M195" s="7">
        <v>7.3089104591280574</v>
      </c>
      <c r="N195" s="7">
        <v>12.1</v>
      </c>
      <c r="O195" s="7">
        <v>12.2</v>
      </c>
      <c r="P195" s="7">
        <f t="shared" si="2"/>
        <v>9.9999999999999645E-2</v>
      </c>
      <c r="Q195" s="17">
        <v>88.862970697997852</v>
      </c>
      <c r="R195" s="14">
        <v>78</v>
      </c>
      <c r="S195" s="7">
        <v>-10.862970697997852</v>
      </c>
      <c r="T195" s="8" t="s">
        <v>910</v>
      </c>
    </row>
    <row r="196" spans="1:20">
      <c r="A196" s="5" t="s">
        <v>403</v>
      </c>
      <c r="B196" s="5" t="s">
        <v>404</v>
      </c>
      <c r="C196" s="5" t="s">
        <v>18</v>
      </c>
      <c r="D196" s="5">
        <v>4</v>
      </c>
      <c r="E196" s="6" t="s">
        <v>266</v>
      </c>
      <c r="F196" s="10">
        <v>700</v>
      </c>
      <c r="G196" s="7">
        <v>9.898075345457487</v>
      </c>
      <c r="H196" s="7">
        <v>11.696675951838721</v>
      </c>
      <c r="I196" s="7">
        <v>12.91325283274449</v>
      </c>
      <c r="J196" s="7">
        <v>14.464544271842728</v>
      </c>
      <c r="K196" s="7">
        <v>15.654430927862842</v>
      </c>
      <c r="L196" s="7">
        <v>16.927080909123539</v>
      </c>
      <c r="M196" s="7">
        <v>7.3089104591280574</v>
      </c>
      <c r="N196" s="7">
        <v>14</v>
      </c>
      <c r="O196" s="7">
        <v>4.8</v>
      </c>
      <c r="P196" s="7">
        <f t="shared" si="2"/>
        <v>-9.1999999999999993</v>
      </c>
      <c r="Q196" s="17">
        <v>88.862970697997852</v>
      </c>
      <c r="R196" s="14">
        <v>40</v>
      </c>
      <c r="S196" s="7">
        <v>-48.862970697997852</v>
      </c>
      <c r="T196" s="8" t="s">
        <v>910</v>
      </c>
    </row>
    <row r="197" spans="1:20">
      <c r="A197" s="5" t="s">
        <v>405</v>
      </c>
      <c r="B197" s="5" t="s">
        <v>406</v>
      </c>
      <c r="C197" s="5" t="s">
        <v>67</v>
      </c>
      <c r="D197" s="5">
        <v>1</v>
      </c>
      <c r="E197" s="6" t="s">
        <v>266</v>
      </c>
      <c r="F197" s="10">
        <v>700</v>
      </c>
      <c r="G197" s="7">
        <v>9.898075345457487</v>
      </c>
      <c r="H197" s="7">
        <v>11.696675951838721</v>
      </c>
      <c r="I197" s="7">
        <v>12.91325283274449</v>
      </c>
      <c r="J197" s="7">
        <v>14.464544271842728</v>
      </c>
      <c r="K197" s="7">
        <v>15.654430927862842</v>
      </c>
      <c r="L197" s="7">
        <v>16.927080909123539</v>
      </c>
      <c r="M197" s="7">
        <v>7.3089104591280574</v>
      </c>
      <c r="N197" s="7">
        <v>12.4</v>
      </c>
      <c r="O197" s="7">
        <v>13.6</v>
      </c>
      <c r="P197" s="7">
        <f t="shared" ref="P197:P260" si="3">O197-N197</f>
        <v>1.1999999999999993</v>
      </c>
      <c r="Q197" s="17">
        <v>88.862970697997852</v>
      </c>
      <c r="R197" s="14">
        <v>103</v>
      </c>
      <c r="S197" s="7">
        <v>14.137029302002148</v>
      </c>
      <c r="T197" s="8" t="s">
        <v>909</v>
      </c>
    </row>
    <row r="198" spans="1:20">
      <c r="A198" s="5" t="s">
        <v>407</v>
      </c>
      <c r="B198" s="5" t="s">
        <v>408</v>
      </c>
      <c r="C198" s="5" t="s">
        <v>18</v>
      </c>
      <c r="D198" s="5">
        <v>4</v>
      </c>
      <c r="E198" s="6" t="s">
        <v>266</v>
      </c>
      <c r="F198" s="10">
        <v>700</v>
      </c>
      <c r="G198" s="7">
        <v>9.898075345457487</v>
      </c>
      <c r="H198" s="7">
        <v>11.696675951838721</v>
      </c>
      <c r="I198" s="7">
        <v>12.91325283274449</v>
      </c>
      <c r="J198" s="7">
        <v>14.464544271842728</v>
      </c>
      <c r="K198" s="7">
        <v>15.654430927862842</v>
      </c>
      <c r="L198" s="7">
        <v>16.927080909123539</v>
      </c>
      <c r="M198" s="7">
        <v>7.3089104591280574</v>
      </c>
      <c r="N198" s="7">
        <v>12.2</v>
      </c>
      <c r="O198" s="7">
        <v>7.4</v>
      </c>
      <c r="P198" s="7">
        <f t="shared" si="3"/>
        <v>-4.7999999999999989</v>
      </c>
      <c r="Q198" s="17">
        <v>88.862970697997852</v>
      </c>
      <c r="R198" s="14">
        <v>55</v>
      </c>
      <c r="S198" s="7">
        <v>-33.862970697997852</v>
      </c>
      <c r="T198" s="8" t="s">
        <v>910</v>
      </c>
    </row>
    <row r="199" spans="1:20">
      <c r="A199" s="5" t="s">
        <v>409</v>
      </c>
      <c r="B199" s="5" t="s">
        <v>410</v>
      </c>
      <c r="C199" s="5" t="s">
        <v>18</v>
      </c>
      <c r="D199" s="5">
        <v>2</v>
      </c>
      <c r="E199" s="6" t="s">
        <v>266</v>
      </c>
      <c r="F199" s="10">
        <v>700</v>
      </c>
      <c r="G199" s="7">
        <v>9.7434179181847131</v>
      </c>
      <c r="H199" s="7">
        <v>11.513915390091238</v>
      </c>
      <c r="I199" s="7">
        <v>12.711483257232857</v>
      </c>
      <c r="J199" s="7">
        <v>14.238535767595184</v>
      </c>
      <c r="K199" s="7">
        <v>15.409830444614984</v>
      </c>
      <c r="L199" s="7">
        <v>16.662595269918484</v>
      </c>
      <c r="M199" s="7">
        <v>7.1947087332041795</v>
      </c>
      <c r="N199" s="7">
        <v>15.5</v>
      </c>
      <c r="O199" s="7">
        <v>14.6</v>
      </c>
      <c r="P199" s="7">
        <f t="shared" si="3"/>
        <v>-0.90000000000000036</v>
      </c>
      <c r="Q199" s="17">
        <v>87.474486780841644</v>
      </c>
      <c r="R199" s="14">
        <v>100</v>
      </c>
      <c r="S199" s="7">
        <v>12.525513219158356</v>
      </c>
      <c r="T199" s="8" t="s">
        <v>909</v>
      </c>
    </row>
    <row r="200" spans="1:20">
      <c r="A200" s="5" t="s">
        <v>411</v>
      </c>
      <c r="B200" s="5" t="s">
        <v>412</v>
      </c>
      <c r="C200" s="5" t="s">
        <v>18</v>
      </c>
      <c r="D200" s="5">
        <v>4</v>
      </c>
      <c r="E200" s="6" t="s">
        <v>266</v>
      </c>
      <c r="F200" s="10">
        <v>700</v>
      </c>
      <c r="G200" s="7">
        <v>9.7434179181847131</v>
      </c>
      <c r="H200" s="7">
        <v>11.513915390091238</v>
      </c>
      <c r="I200" s="7">
        <v>12.711483257232857</v>
      </c>
      <c r="J200" s="7">
        <v>14.238535767595184</v>
      </c>
      <c r="K200" s="7">
        <v>15.409830444614984</v>
      </c>
      <c r="L200" s="7">
        <v>16.662595269918484</v>
      </c>
      <c r="M200" s="7">
        <v>7.1947087332041795</v>
      </c>
      <c r="N200" s="7">
        <v>12.1</v>
      </c>
      <c r="O200" s="7">
        <v>8.6</v>
      </c>
      <c r="P200" s="7">
        <f t="shared" si="3"/>
        <v>-3.5</v>
      </c>
      <c r="Q200" s="17">
        <v>87.474486780841644</v>
      </c>
      <c r="R200" s="14">
        <v>68</v>
      </c>
      <c r="S200" s="7">
        <v>-19.474486780841644</v>
      </c>
      <c r="T200" s="8" t="s">
        <v>910</v>
      </c>
    </row>
    <row r="201" spans="1:20">
      <c r="A201" s="5" t="s">
        <v>413</v>
      </c>
      <c r="B201" s="5" t="s">
        <v>414</v>
      </c>
      <c r="C201" s="5" t="s">
        <v>67</v>
      </c>
      <c r="D201" s="5">
        <v>1</v>
      </c>
      <c r="E201" s="6" t="s">
        <v>266</v>
      </c>
      <c r="F201" s="10">
        <v>700</v>
      </c>
      <c r="G201" s="7">
        <v>9.7434179181847131</v>
      </c>
      <c r="H201" s="7">
        <v>11.513915390091238</v>
      </c>
      <c r="I201" s="7">
        <v>12.711483257232857</v>
      </c>
      <c r="J201" s="7">
        <v>14.238535767595184</v>
      </c>
      <c r="K201" s="7">
        <v>15.409830444614984</v>
      </c>
      <c r="L201" s="7">
        <v>16.662595269918484</v>
      </c>
      <c r="M201" s="7">
        <v>7.1947087332041795</v>
      </c>
      <c r="N201" s="7">
        <v>14.1</v>
      </c>
      <c r="O201" s="7">
        <v>17.600000000000001</v>
      </c>
      <c r="P201" s="7">
        <f t="shared" si="3"/>
        <v>3.5000000000000018</v>
      </c>
      <c r="Q201" s="17">
        <v>87.474486780841644</v>
      </c>
      <c r="R201" s="14">
        <v>149</v>
      </c>
      <c r="S201" s="7">
        <v>61.525513219158356</v>
      </c>
      <c r="T201" s="8" t="s">
        <v>909</v>
      </c>
    </row>
    <row r="202" spans="1:20">
      <c r="A202" s="5" t="s">
        <v>415</v>
      </c>
      <c r="B202" s="5" t="s">
        <v>416</v>
      </c>
      <c r="C202" s="5" t="s">
        <v>18</v>
      </c>
      <c r="D202" s="5">
        <v>0</v>
      </c>
      <c r="E202" s="6" t="s">
        <v>266</v>
      </c>
      <c r="F202" s="10">
        <v>700</v>
      </c>
      <c r="G202" s="7">
        <v>9.588760490911941</v>
      </c>
      <c r="H202" s="7">
        <v>11.331154828343761</v>
      </c>
      <c r="I202" s="7">
        <v>12.509713681721227</v>
      </c>
      <c r="J202" s="7">
        <v>14.012527263347643</v>
      </c>
      <c r="K202" s="7">
        <v>15.165229961367128</v>
      </c>
      <c r="L202" s="7">
        <v>16.398109630713428</v>
      </c>
      <c r="M202" s="7">
        <v>7.080507007280306</v>
      </c>
      <c r="N202" s="7">
        <v>15</v>
      </c>
      <c r="O202" s="7">
        <v>17.399999999999999</v>
      </c>
      <c r="P202" s="7">
        <f t="shared" si="3"/>
        <v>2.3999999999999986</v>
      </c>
      <c r="Q202" s="17">
        <v>86.086002863685437</v>
      </c>
      <c r="R202" s="14">
        <v>128</v>
      </c>
      <c r="S202" s="7">
        <v>41.913997136314563</v>
      </c>
      <c r="T202" s="8" t="s">
        <v>909</v>
      </c>
    </row>
    <row r="203" spans="1:20">
      <c r="A203" s="5" t="s">
        <v>417</v>
      </c>
      <c r="B203" s="5" t="s">
        <v>418</v>
      </c>
      <c r="C203" s="5" t="s">
        <v>18</v>
      </c>
      <c r="D203" s="5">
        <v>2</v>
      </c>
      <c r="E203" s="6" t="s">
        <v>266</v>
      </c>
      <c r="F203" s="10">
        <v>700</v>
      </c>
      <c r="G203" s="7">
        <v>9.588760490911941</v>
      </c>
      <c r="H203" s="7">
        <v>11.331154828343761</v>
      </c>
      <c r="I203" s="7">
        <v>12.509713681721227</v>
      </c>
      <c r="J203" s="7">
        <v>14.012527263347643</v>
      </c>
      <c r="K203" s="7">
        <v>15.165229961367128</v>
      </c>
      <c r="L203" s="7">
        <v>16.398109630713428</v>
      </c>
      <c r="M203" s="7">
        <v>7.080507007280306</v>
      </c>
      <c r="N203" s="7">
        <v>12.8</v>
      </c>
      <c r="O203" s="7">
        <v>12.6</v>
      </c>
      <c r="P203" s="7">
        <f t="shared" si="3"/>
        <v>-0.20000000000000107</v>
      </c>
      <c r="Q203" s="17">
        <v>86.086002863685437</v>
      </c>
      <c r="R203" s="14">
        <v>87</v>
      </c>
      <c r="S203" s="7">
        <v>0.91399713631456336</v>
      </c>
      <c r="T203" s="8" t="s">
        <v>909</v>
      </c>
    </row>
    <row r="204" spans="1:20">
      <c r="A204" s="5" t="s">
        <v>419</v>
      </c>
      <c r="B204" s="5" t="s">
        <v>420</v>
      </c>
      <c r="C204" s="5" t="s">
        <v>18</v>
      </c>
      <c r="D204" s="5">
        <v>1</v>
      </c>
      <c r="E204" s="6" t="s">
        <v>266</v>
      </c>
      <c r="F204" s="10">
        <v>700</v>
      </c>
      <c r="G204" s="7">
        <v>9.588760490911941</v>
      </c>
      <c r="H204" s="7">
        <v>11.331154828343761</v>
      </c>
      <c r="I204" s="7">
        <v>12.509713681721227</v>
      </c>
      <c r="J204" s="7">
        <v>14.012527263347643</v>
      </c>
      <c r="K204" s="7">
        <v>15.165229961367128</v>
      </c>
      <c r="L204" s="7">
        <v>16.398109630713428</v>
      </c>
      <c r="M204" s="7">
        <v>7.080507007280306</v>
      </c>
      <c r="N204" s="7">
        <v>14.4</v>
      </c>
      <c r="O204" s="7">
        <v>20</v>
      </c>
      <c r="P204" s="7">
        <f t="shared" si="3"/>
        <v>5.6</v>
      </c>
      <c r="Q204" s="17">
        <v>86.086002863685437</v>
      </c>
      <c r="R204" s="14">
        <v>126</v>
      </c>
      <c r="S204" s="7">
        <v>39.913997136314563</v>
      </c>
      <c r="T204" s="8" t="s">
        <v>909</v>
      </c>
    </row>
    <row r="205" spans="1:20">
      <c r="A205" s="5" t="s">
        <v>421</v>
      </c>
      <c r="B205" s="5" t="s">
        <v>422</v>
      </c>
      <c r="C205" s="5" t="s">
        <v>18</v>
      </c>
      <c r="D205" s="5">
        <v>4</v>
      </c>
      <c r="E205" s="6" t="s">
        <v>266</v>
      </c>
      <c r="F205" s="10">
        <v>700</v>
      </c>
      <c r="G205" s="7">
        <v>9.588760490911941</v>
      </c>
      <c r="H205" s="7">
        <v>11.331154828343761</v>
      </c>
      <c r="I205" s="7">
        <v>12.509713681721227</v>
      </c>
      <c r="J205" s="7">
        <v>14.012527263347643</v>
      </c>
      <c r="K205" s="7">
        <v>15.165229961367128</v>
      </c>
      <c r="L205" s="7">
        <v>16.398109630713428</v>
      </c>
      <c r="M205" s="7">
        <v>7.080507007280306</v>
      </c>
      <c r="N205" s="7">
        <v>12.7</v>
      </c>
      <c r="O205" s="7">
        <v>11.4</v>
      </c>
      <c r="P205" s="7">
        <f t="shared" si="3"/>
        <v>-1.2999999999999989</v>
      </c>
      <c r="Q205" s="17">
        <v>86.086002863685437</v>
      </c>
      <c r="R205" s="14">
        <v>83</v>
      </c>
      <c r="S205" s="7">
        <v>-3.0860028636854366</v>
      </c>
      <c r="T205" s="8" t="s">
        <v>910</v>
      </c>
    </row>
    <row r="206" spans="1:20">
      <c r="A206" s="5" t="s">
        <v>423</v>
      </c>
      <c r="B206" s="5" t="s">
        <v>424</v>
      </c>
      <c r="C206" s="5" t="s">
        <v>18</v>
      </c>
      <c r="D206" s="5">
        <v>3</v>
      </c>
      <c r="E206" s="6" t="s">
        <v>266</v>
      </c>
      <c r="F206" s="10">
        <v>700</v>
      </c>
      <c r="G206" s="7">
        <v>9.588760490911941</v>
      </c>
      <c r="H206" s="7">
        <v>11.331154828343761</v>
      </c>
      <c r="I206" s="7">
        <v>12.509713681721227</v>
      </c>
      <c r="J206" s="7">
        <v>14.012527263347643</v>
      </c>
      <c r="K206" s="7">
        <v>15.165229961367128</v>
      </c>
      <c r="L206" s="7">
        <v>16.398109630713428</v>
      </c>
      <c r="M206" s="7">
        <v>7.080507007280306</v>
      </c>
      <c r="N206" s="7">
        <v>12.6</v>
      </c>
      <c r="O206" s="7">
        <v>10.6</v>
      </c>
      <c r="P206" s="7">
        <f t="shared" si="3"/>
        <v>-2</v>
      </c>
      <c r="Q206" s="17">
        <v>86.086002863685437</v>
      </c>
      <c r="R206" s="14">
        <v>76</v>
      </c>
      <c r="S206" s="7">
        <v>-10.086002863685437</v>
      </c>
      <c r="T206" s="8" t="s">
        <v>910</v>
      </c>
    </row>
    <row r="207" spans="1:20">
      <c r="A207" s="5" t="s">
        <v>425</v>
      </c>
      <c r="B207" s="5" t="s">
        <v>426</v>
      </c>
      <c r="C207" s="5" t="s">
        <v>67</v>
      </c>
      <c r="D207" s="5">
        <v>1</v>
      </c>
      <c r="E207" s="6" t="s">
        <v>266</v>
      </c>
      <c r="F207" s="10">
        <v>700</v>
      </c>
      <c r="G207" s="7">
        <v>9.588760490911941</v>
      </c>
      <c r="H207" s="7">
        <v>11.331154828343761</v>
      </c>
      <c r="I207" s="7">
        <v>12.509713681721227</v>
      </c>
      <c r="J207" s="7">
        <v>14.012527263347643</v>
      </c>
      <c r="K207" s="7">
        <v>15.165229961367128</v>
      </c>
      <c r="L207" s="7">
        <v>16.398109630713428</v>
      </c>
      <c r="M207" s="7">
        <v>7.080507007280306</v>
      </c>
      <c r="N207" s="7">
        <v>7.2</v>
      </c>
      <c r="O207" s="7">
        <v>12.4</v>
      </c>
      <c r="P207" s="7">
        <f t="shared" si="3"/>
        <v>5.2</v>
      </c>
      <c r="Q207" s="17">
        <v>86.086002863685437</v>
      </c>
      <c r="R207" s="14">
        <v>94</v>
      </c>
      <c r="S207" s="7">
        <v>7.9139971363145634</v>
      </c>
      <c r="T207" s="8" t="s">
        <v>909</v>
      </c>
    </row>
    <row r="208" spans="1:20">
      <c r="A208" s="5" t="s">
        <v>427</v>
      </c>
      <c r="B208" s="5" t="s">
        <v>428</v>
      </c>
      <c r="C208" s="5" t="s">
        <v>18</v>
      </c>
      <c r="D208" s="5">
        <v>1</v>
      </c>
      <c r="E208" s="6" t="s">
        <v>266</v>
      </c>
      <c r="F208" s="10">
        <v>700</v>
      </c>
      <c r="G208" s="7">
        <v>9.588760490911941</v>
      </c>
      <c r="H208" s="7">
        <v>11.331154828343761</v>
      </c>
      <c r="I208" s="7">
        <v>12.509713681721227</v>
      </c>
      <c r="J208" s="7">
        <v>14.012527263347643</v>
      </c>
      <c r="K208" s="7">
        <v>15.165229961367128</v>
      </c>
      <c r="L208" s="7">
        <v>16.398109630713428</v>
      </c>
      <c r="M208" s="7">
        <v>7.080507007280306</v>
      </c>
      <c r="N208" s="7">
        <v>13</v>
      </c>
      <c r="O208" s="7">
        <v>10.6</v>
      </c>
      <c r="P208" s="7">
        <f t="shared" si="3"/>
        <v>-2.4000000000000004</v>
      </c>
      <c r="Q208" s="17">
        <v>86.086002863685437</v>
      </c>
      <c r="R208" s="14">
        <v>75</v>
      </c>
      <c r="S208" s="7">
        <v>-11.086002863685437</v>
      </c>
      <c r="T208" s="8" t="s">
        <v>910</v>
      </c>
    </row>
    <row r="209" spans="1:20">
      <c r="A209" s="5" t="s">
        <v>429</v>
      </c>
      <c r="B209" s="5" t="s">
        <v>430</v>
      </c>
      <c r="C209" s="5" t="s">
        <v>18</v>
      </c>
      <c r="D209" s="5">
        <v>4</v>
      </c>
      <c r="E209" s="6" t="s">
        <v>266</v>
      </c>
      <c r="F209" s="10">
        <v>700</v>
      </c>
      <c r="G209" s="7">
        <v>9.4341030636391672</v>
      </c>
      <c r="H209" s="7">
        <v>11.148394266596279</v>
      </c>
      <c r="I209" s="7">
        <v>12.307944106209591</v>
      </c>
      <c r="J209" s="7">
        <v>13.786518759100099</v>
      </c>
      <c r="K209" s="7">
        <v>14.92062947811927</v>
      </c>
      <c r="L209" s="7">
        <v>16.133623991508372</v>
      </c>
      <c r="M209" s="7">
        <v>6.9663052813564299</v>
      </c>
      <c r="N209" s="7">
        <v>13.5</v>
      </c>
      <c r="O209" s="7">
        <v>15.8</v>
      </c>
      <c r="P209" s="7">
        <f t="shared" si="3"/>
        <v>2.3000000000000007</v>
      </c>
      <c r="Q209" s="17">
        <v>84.6975189465292</v>
      </c>
      <c r="R209" s="14">
        <v>125</v>
      </c>
      <c r="S209" s="7">
        <v>40.3024810534708</v>
      </c>
      <c r="T209" s="8" t="s">
        <v>909</v>
      </c>
    </row>
    <row r="210" spans="1:20">
      <c r="A210" s="5" t="s">
        <v>431</v>
      </c>
      <c r="B210" s="5" t="s">
        <v>432</v>
      </c>
      <c r="C210" s="5" t="s">
        <v>18</v>
      </c>
      <c r="D210" s="5">
        <v>2</v>
      </c>
      <c r="E210" s="6" t="s">
        <v>266</v>
      </c>
      <c r="F210" s="10">
        <v>700</v>
      </c>
      <c r="G210" s="7">
        <v>9.4341030636391672</v>
      </c>
      <c r="H210" s="7">
        <v>11.148394266596279</v>
      </c>
      <c r="I210" s="7">
        <v>12.307944106209591</v>
      </c>
      <c r="J210" s="7">
        <v>13.786518759100099</v>
      </c>
      <c r="K210" s="7">
        <v>14.92062947811927</v>
      </c>
      <c r="L210" s="7">
        <v>16.133623991508372</v>
      </c>
      <c r="M210" s="7">
        <v>6.9663052813564299</v>
      </c>
      <c r="N210" s="7">
        <v>12.8</v>
      </c>
      <c r="O210" s="7">
        <v>13.8</v>
      </c>
      <c r="P210" s="7">
        <f t="shared" si="3"/>
        <v>1</v>
      </c>
      <c r="Q210" s="17">
        <v>84.6975189465292</v>
      </c>
      <c r="R210" s="14">
        <v>101</v>
      </c>
      <c r="S210" s="7">
        <v>16.3024810534708</v>
      </c>
      <c r="T210" s="8" t="s">
        <v>909</v>
      </c>
    </row>
    <row r="211" spans="1:20">
      <c r="A211" s="5" t="s">
        <v>433</v>
      </c>
      <c r="B211" s="5" t="s">
        <v>434</v>
      </c>
      <c r="C211" s="5" t="s">
        <v>18</v>
      </c>
      <c r="D211" s="5">
        <v>2</v>
      </c>
      <c r="E211" s="6" t="s">
        <v>266</v>
      </c>
      <c r="F211" s="10">
        <v>700</v>
      </c>
      <c r="G211" s="7">
        <v>9.4341030636391672</v>
      </c>
      <c r="H211" s="7">
        <v>11.148394266596279</v>
      </c>
      <c r="I211" s="7">
        <v>12.307944106209591</v>
      </c>
      <c r="J211" s="7">
        <v>13.786518759100099</v>
      </c>
      <c r="K211" s="7">
        <v>14.92062947811927</v>
      </c>
      <c r="L211" s="7">
        <v>16.133623991508372</v>
      </c>
      <c r="M211" s="7">
        <v>6.9663052813564299</v>
      </c>
      <c r="N211" s="7">
        <v>15.6</v>
      </c>
      <c r="O211" s="7">
        <v>19.8</v>
      </c>
      <c r="P211" s="7">
        <f t="shared" si="3"/>
        <v>4.2000000000000011</v>
      </c>
      <c r="Q211" s="17">
        <v>84.6975189465292</v>
      </c>
      <c r="R211" s="14">
        <v>138</v>
      </c>
      <c r="S211" s="7">
        <v>53.3024810534708</v>
      </c>
      <c r="T211" s="8" t="s">
        <v>909</v>
      </c>
    </row>
    <row r="212" spans="1:20">
      <c r="A212" s="5" t="s">
        <v>435</v>
      </c>
      <c r="B212" s="5" t="s">
        <v>436</v>
      </c>
      <c r="C212" s="5" t="s">
        <v>18</v>
      </c>
      <c r="D212" s="5">
        <v>4</v>
      </c>
      <c r="E212" s="6" t="s">
        <v>266</v>
      </c>
      <c r="F212" s="10">
        <v>700</v>
      </c>
      <c r="G212" s="7">
        <v>9.4341030636391672</v>
      </c>
      <c r="H212" s="7">
        <v>11.148394266596279</v>
      </c>
      <c r="I212" s="7">
        <v>12.307944106209591</v>
      </c>
      <c r="J212" s="7">
        <v>13.786518759100099</v>
      </c>
      <c r="K212" s="7">
        <v>14.92062947811927</v>
      </c>
      <c r="L212" s="7">
        <v>16.133623991508372</v>
      </c>
      <c r="M212" s="7">
        <v>6.9663052813564299</v>
      </c>
      <c r="N212" s="7">
        <v>15</v>
      </c>
      <c r="O212" s="7">
        <v>10.8</v>
      </c>
      <c r="P212" s="7">
        <f t="shared" si="3"/>
        <v>-4.1999999999999993</v>
      </c>
      <c r="Q212" s="17">
        <v>84.6975189465292</v>
      </c>
      <c r="R212" s="14">
        <v>76</v>
      </c>
      <c r="S212" s="7">
        <v>-8.6975189465292004</v>
      </c>
      <c r="T212" s="8" t="s">
        <v>910</v>
      </c>
    </row>
    <row r="213" spans="1:20">
      <c r="A213" s="5" t="s">
        <v>437</v>
      </c>
      <c r="B213" s="5" t="s">
        <v>438</v>
      </c>
      <c r="C213" s="5" t="s">
        <v>67</v>
      </c>
      <c r="D213" s="5">
        <v>1</v>
      </c>
      <c r="E213" s="6" t="s">
        <v>266</v>
      </c>
      <c r="F213" s="10">
        <v>700</v>
      </c>
      <c r="G213" s="7">
        <v>9.4341030636391672</v>
      </c>
      <c r="H213" s="7">
        <v>11.148394266596279</v>
      </c>
      <c r="I213" s="7">
        <v>12.307944106209591</v>
      </c>
      <c r="J213" s="7">
        <v>13.786518759100099</v>
      </c>
      <c r="K213" s="7">
        <v>14.92062947811927</v>
      </c>
      <c r="L213" s="7">
        <v>16.133623991508372</v>
      </c>
      <c r="M213" s="7">
        <v>6.9663052813564299</v>
      </c>
      <c r="N213" s="7">
        <v>10.199999999999999</v>
      </c>
      <c r="O213" s="7">
        <v>18.600000000000001</v>
      </c>
      <c r="P213" s="7">
        <f t="shared" si="3"/>
        <v>8.4000000000000021</v>
      </c>
      <c r="Q213" s="17">
        <v>84.6975189465292</v>
      </c>
      <c r="R213" s="14">
        <v>131</v>
      </c>
      <c r="S213" s="7">
        <v>46.3024810534708</v>
      </c>
      <c r="T213" s="8" t="s">
        <v>909</v>
      </c>
    </row>
    <row r="214" spans="1:20">
      <c r="A214" s="5" t="s">
        <v>439</v>
      </c>
      <c r="B214" s="5" t="s">
        <v>440</v>
      </c>
      <c r="C214" s="5" t="s">
        <v>67</v>
      </c>
      <c r="D214" s="5">
        <v>1</v>
      </c>
      <c r="E214" s="6" t="s">
        <v>266</v>
      </c>
      <c r="F214" s="10">
        <v>700</v>
      </c>
      <c r="G214" s="7">
        <v>9.4341030636391672</v>
      </c>
      <c r="H214" s="7">
        <v>11.148394266596279</v>
      </c>
      <c r="I214" s="7">
        <v>12.307944106209591</v>
      </c>
      <c r="J214" s="7">
        <v>13.786518759100099</v>
      </c>
      <c r="K214" s="7">
        <v>14.92062947811927</v>
      </c>
      <c r="L214" s="7">
        <v>16.133623991508372</v>
      </c>
      <c r="M214" s="7">
        <v>6.9663052813564299</v>
      </c>
      <c r="N214" s="7">
        <v>13.3</v>
      </c>
      <c r="O214" s="7">
        <v>15.6</v>
      </c>
      <c r="P214" s="7">
        <f t="shared" si="3"/>
        <v>2.2999999999999989</v>
      </c>
      <c r="Q214" s="17">
        <v>84.6975189465292</v>
      </c>
      <c r="R214" s="14">
        <v>110</v>
      </c>
      <c r="S214" s="7">
        <v>25.3024810534708</v>
      </c>
      <c r="T214" s="8" t="s">
        <v>909</v>
      </c>
    </row>
    <row r="215" spans="1:20">
      <c r="A215" s="5" t="s">
        <v>441</v>
      </c>
      <c r="B215" s="5" t="s">
        <v>442</v>
      </c>
      <c r="C215" s="5" t="s">
        <v>18</v>
      </c>
      <c r="D215" s="5">
        <v>2</v>
      </c>
      <c r="E215" s="6" t="s">
        <v>266</v>
      </c>
      <c r="F215" s="10">
        <v>700</v>
      </c>
      <c r="G215" s="7">
        <v>9.4341030636391672</v>
      </c>
      <c r="H215" s="7">
        <v>11.148394266596279</v>
      </c>
      <c r="I215" s="7">
        <v>12.307944106209591</v>
      </c>
      <c r="J215" s="7">
        <v>13.786518759100099</v>
      </c>
      <c r="K215" s="7">
        <v>14.92062947811927</v>
      </c>
      <c r="L215" s="7">
        <v>16.133623991508372</v>
      </c>
      <c r="M215" s="7">
        <v>6.9663052813564299</v>
      </c>
      <c r="N215" s="7">
        <v>25.6</v>
      </c>
      <c r="O215" s="7">
        <v>27.6</v>
      </c>
      <c r="P215" s="7">
        <f t="shared" si="3"/>
        <v>2</v>
      </c>
      <c r="Q215" s="17">
        <v>84.6975189465292</v>
      </c>
      <c r="R215" s="14">
        <v>216</v>
      </c>
      <c r="S215" s="7">
        <v>131.30248105347079</v>
      </c>
      <c r="T215" s="8" t="s">
        <v>909</v>
      </c>
    </row>
    <row r="216" spans="1:20">
      <c r="A216" s="5" t="s">
        <v>443</v>
      </c>
      <c r="B216" s="5" t="s">
        <v>444</v>
      </c>
      <c r="C216" s="5" t="s">
        <v>18</v>
      </c>
      <c r="D216" s="5">
        <v>2</v>
      </c>
      <c r="E216" s="6" t="s">
        <v>266</v>
      </c>
      <c r="F216" s="10">
        <v>700</v>
      </c>
      <c r="G216" s="7">
        <v>9.2794456363663933</v>
      </c>
      <c r="H216" s="7">
        <v>10.9656337048488</v>
      </c>
      <c r="I216" s="7">
        <v>12.10617453069796</v>
      </c>
      <c r="J216" s="7">
        <v>13.560510254852558</v>
      </c>
      <c r="K216" s="7">
        <v>14.676028994871416</v>
      </c>
      <c r="L216" s="7">
        <v>15.869138352303317</v>
      </c>
      <c r="M216" s="7">
        <v>6.8521035554325538</v>
      </c>
      <c r="N216" s="7">
        <v>13.1</v>
      </c>
      <c r="O216" s="7">
        <v>14</v>
      </c>
      <c r="P216" s="7">
        <f t="shared" si="3"/>
        <v>0.90000000000000036</v>
      </c>
      <c r="Q216" s="17">
        <v>83.309035029372993</v>
      </c>
      <c r="R216" s="14">
        <v>99</v>
      </c>
      <c r="S216" s="7">
        <v>15.690964970627007</v>
      </c>
      <c r="T216" s="8" t="s">
        <v>909</v>
      </c>
    </row>
    <row r="217" spans="1:20">
      <c r="A217" s="5" t="s">
        <v>445</v>
      </c>
      <c r="B217" s="5" t="s">
        <v>446</v>
      </c>
      <c r="C217" s="5" t="s">
        <v>18</v>
      </c>
      <c r="D217" s="5">
        <v>2</v>
      </c>
      <c r="E217" s="6" t="s">
        <v>266</v>
      </c>
      <c r="F217" s="10">
        <v>700</v>
      </c>
      <c r="G217" s="7">
        <v>9.2794456363663933</v>
      </c>
      <c r="H217" s="7">
        <v>10.9656337048488</v>
      </c>
      <c r="I217" s="7">
        <v>12.10617453069796</v>
      </c>
      <c r="J217" s="7">
        <v>13.560510254852558</v>
      </c>
      <c r="K217" s="7">
        <v>14.676028994871416</v>
      </c>
      <c r="L217" s="7">
        <v>15.869138352303317</v>
      </c>
      <c r="M217" s="7">
        <v>6.8521035554325538</v>
      </c>
      <c r="N217" s="7">
        <v>11.1</v>
      </c>
      <c r="O217" s="7">
        <v>11</v>
      </c>
      <c r="P217" s="7">
        <f t="shared" si="3"/>
        <v>-9.9999999999999645E-2</v>
      </c>
      <c r="Q217" s="17">
        <v>83.309035029372993</v>
      </c>
      <c r="R217" s="14">
        <v>79</v>
      </c>
      <c r="S217" s="7">
        <v>-4.3090350293729927</v>
      </c>
      <c r="T217" s="8" t="s">
        <v>910</v>
      </c>
    </row>
    <row r="218" spans="1:20">
      <c r="A218" s="5" t="s">
        <v>447</v>
      </c>
      <c r="B218" s="5" t="s">
        <v>448</v>
      </c>
      <c r="C218" s="5" t="s">
        <v>18</v>
      </c>
      <c r="D218" s="5">
        <v>2</v>
      </c>
      <c r="E218" s="6" t="s">
        <v>266</v>
      </c>
      <c r="F218" s="10">
        <v>700</v>
      </c>
      <c r="G218" s="7">
        <v>9.2794456363663933</v>
      </c>
      <c r="H218" s="7">
        <v>10.9656337048488</v>
      </c>
      <c r="I218" s="7">
        <v>12.10617453069796</v>
      </c>
      <c r="J218" s="7">
        <v>13.560510254852558</v>
      </c>
      <c r="K218" s="7">
        <v>14.676028994871416</v>
      </c>
      <c r="L218" s="7">
        <v>15.869138352303317</v>
      </c>
      <c r="M218" s="7">
        <v>6.8521035554325538</v>
      </c>
      <c r="N218" s="7">
        <v>9.5</v>
      </c>
      <c r="O218" s="7">
        <v>24.6</v>
      </c>
      <c r="P218" s="7">
        <f t="shared" si="3"/>
        <v>15.100000000000001</v>
      </c>
      <c r="Q218" s="17">
        <v>83.309035029372993</v>
      </c>
      <c r="R218" s="14">
        <v>149</v>
      </c>
      <c r="S218" s="7">
        <v>65.690964970627007</v>
      </c>
      <c r="T218" s="8" t="s">
        <v>909</v>
      </c>
    </row>
    <row r="219" spans="1:20">
      <c r="A219" s="5" t="s">
        <v>449</v>
      </c>
      <c r="B219" s="5" t="s">
        <v>450</v>
      </c>
      <c r="C219" s="5" t="s">
        <v>18</v>
      </c>
      <c r="D219" s="5">
        <v>1</v>
      </c>
      <c r="E219" s="6" t="s">
        <v>266</v>
      </c>
      <c r="F219" s="10">
        <v>700</v>
      </c>
      <c r="G219" s="7">
        <v>9.2794456363663933</v>
      </c>
      <c r="H219" s="7">
        <v>10.9656337048488</v>
      </c>
      <c r="I219" s="7">
        <v>12.10617453069796</v>
      </c>
      <c r="J219" s="7">
        <v>13.560510254852558</v>
      </c>
      <c r="K219" s="7">
        <v>14.676028994871416</v>
      </c>
      <c r="L219" s="7">
        <v>15.869138352303317</v>
      </c>
      <c r="M219" s="7">
        <v>6.8521035554325538</v>
      </c>
      <c r="N219" s="7">
        <v>13.1</v>
      </c>
      <c r="O219" s="7">
        <v>16.600000000000001</v>
      </c>
      <c r="P219" s="7">
        <f t="shared" si="3"/>
        <v>3.5000000000000018</v>
      </c>
      <c r="Q219" s="17">
        <v>83.309035029372993</v>
      </c>
      <c r="R219" s="14">
        <v>123</v>
      </c>
      <c r="S219" s="7">
        <v>39.690964970627007</v>
      </c>
      <c r="T219" s="8" t="s">
        <v>909</v>
      </c>
    </row>
    <row r="220" spans="1:20">
      <c r="A220" s="5" t="s">
        <v>451</v>
      </c>
      <c r="B220" s="5" t="s">
        <v>452</v>
      </c>
      <c r="C220" s="5" t="s">
        <v>67</v>
      </c>
      <c r="D220" s="5">
        <v>2</v>
      </c>
      <c r="E220" s="6" t="s">
        <v>266</v>
      </c>
      <c r="F220" s="10">
        <v>700</v>
      </c>
      <c r="G220" s="7">
        <v>9.2794456363663933</v>
      </c>
      <c r="H220" s="7">
        <v>10.9656337048488</v>
      </c>
      <c r="I220" s="7">
        <v>12.10617453069796</v>
      </c>
      <c r="J220" s="7">
        <v>13.560510254852558</v>
      </c>
      <c r="K220" s="7">
        <v>14.676028994871416</v>
      </c>
      <c r="L220" s="7">
        <v>15.869138352303317</v>
      </c>
      <c r="M220" s="7">
        <v>6.8521035554325538</v>
      </c>
      <c r="N220" s="7">
        <v>4.2</v>
      </c>
      <c r="O220" s="7">
        <v>4.5999999999999996</v>
      </c>
      <c r="P220" s="7">
        <f t="shared" si="3"/>
        <v>0.39999999999999947</v>
      </c>
      <c r="Q220" s="17">
        <v>83.309035029372993</v>
      </c>
      <c r="R220" s="14">
        <v>35</v>
      </c>
      <c r="S220" s="7">
        <v>-48.309035029372993</v>
      </c>
      <c r="T220" s="8" t="s">
        <v>910</v>
      </c>
    </row>
    <row r="221" spans="1:20">
      <c r="A221" s="5" t="s">
        <v>453</v>
      </c>
      <c r="B221" s="5" t="s">
        <v>454</v>
      </c>
      <c r="C221" s="5" t="s">
        <v>18</v>
      </c>
      <c r="D221" s="5">
        <v>1</v>
      </c>
      <c r="E221" s="6" t="s">
        <v>266</v>
      </c>
      <c r="F221" s="10">
        <v>700</v>
      </c>
      <c r="G221" s="7">
        <v>9.1247882090936212</v>
      </c>
      <c r="H221" s="7">
        <v>10.78287314310132</v>
      </c>
      <c r="I221" s="7">
        <v>11.904404955186328</v>
      </c>
      <c r="J221" s="7">
        <v>13.334501750605014</v>
      </c>
      <c r="K221" s="7">
        <v>14.431428511623558</v>
      </c>
      <c r="L221" s="7">
        <v>15.604652713098261</v>
      </c>
      <c r="M221" s="7">
        <v>6.7379018295086777</v>
      </c>
      <c r="N221" s="7">
        <v>11.3</v>
      </c>
      <c r="O221" s="7">
        <v>9.8000000000000007</v>
      </c>
      <c r="P221" s="7">
        <f t="shared" si="3"/>
        <v>-1.5</v>
      </c>
      <c r="Q221" s="17">
        <v>81.920551112216771</v>
      </c>
      <c r="R221" s="14">
        <v>78</v>
      </c>
      <c r="S221" s="7">
        <v>-3.9205511122167707</v>
      </c>
      <c r="T221" s="8" t="s">
        <v>910</v>
      </c>
    </row>
    <row r="222" spans="1:20">
      <c r="A222" s="5" t="s">
        <v>455</v>
      </c>
      <c r="B222" s="5" t="s">
        <v>456</v>
      </c>
      <c r="C222" s="5" t="s">
        <v>18</v>
      </c>
      <c r="D222" s="5">
        <v>0</v>
      </c>
      <c r="E222" s="6" t="s">
        <v>266</v>
      </c>
      <c r="F222" s="10">
        <v>700</v>
      </c>
      <c r="G222" s="7">
        <v>9.1247882090936212</v>
      </c>
      <c r="H222" s="7">
        <v>10.78287314310132</v>
      </c>
      <c r="I222" s="7">
        <v>11.904404955186328</v>
      </c>
      <c r="J222" s="7">
        <v>13.334501750605014</v>
      </c>
      <c r="K222" s="7">
        <v>14.431428511623558</v>
      </c>
      <c r="L222" s="7">
        <v>15.604652713098261</v>
      </c>
      <c r="M222" s="7">
        <v>6.7379018295086777</v>
      </c>
      <c r="N222" s="7">
        <v>9</v>
      </c>
      <c r="O222" s="7">
        <v>18.2</v>
      </c>
      <c r="P222" s="7">
        <f t="shared" si="3"/>
        <v>9.1999999999999993</v>
      </c>
      <c r="Q222" s="17">
        <v>81.920551112216771</v>
      </c>
      <c r="R222" s="14">
        <v>119</v>
      </c>
      <c r="S222" s="7">
        <v>37.079448887783229</v>
      </c>
      <c r="T222" s="8" t="s">
        <v>909</v>
      </c>
    </row>
    <row r="223" spans="1:20">
      <c r="A223" s="5" t="s">
        <v>457</v>
      </c>
      <c r="B223" s="5" t="s">
        <v>458</v>
      </c>
      <c r="C223" s="5" t="s">
        <v>18</v>
      </c>
      <c r="D223" s="5">
        <v>2</v>
      </c>
      <c r="E223" s="6" t="s">
        <v>266</v>
      </c>
      <c r="F223" s="10">
        <v>700</v>
      </c>
      <c r="G223" s="7">
        <v>9.1247882090936212</v>
      </c>
      <c r="H223" s="7">
        <v>10.78287314310132</v>
      </c>
      <c r="I223" s="7">
        <v>11.904404955186328</v>
      </c>
      <c r="J223" s="7">
        <v>13.334501750605014</v>
      </c>
      <c r="K223" s="7">
        <v>14.431428511623558</v>
      </c>
      <c r="L223" s="7">
        <v>15.604652713098261</v>
      </c>
      <c r="M223" s="7">
        <v>6.7379018295086777</v>
      </c>
      <c r="N223" s="7">
        <v>6.9</v>
      </c>
      <c r="O223" s="7">
        <v>9.4</v>
      </c>
      <c r="P223" s="7">
        <f t="shared" si="3"/>
        <v>2.5</v>
      </c>
      <c r="Q223" s="17">
        <v>81.920551112216771</v>
      </c>
      <c r="R223" s="14">
        <v>59</v>
      </c>
      <c r="S223" s="7">
        <v>-22.920551112216771</v>
      </c>
      <c r="T223" s="8" t="s">
        <v>910</v>
      </c>
    </row>
    <row r="224" spans="1:20">
      <c r="A224" s="5" t="s">
        <v>459</v>
      </c>
      <c r="B224" s="5" t="s">
        <v>460</v>
      </c>
      <c r="C224" s="5" t="s">
        <v>18</v>
      </c>
      <c r="D224" s="5">
        <v>3</v>
      </c>
      <c r="E224" s="6" t="s">
        <v>266</v>
      </c>
      <c r="F224" s="10">
        <v>700</v>
      </c>
      <c r="G224" s="7">
        <v>9.1247882090936212</v>
      </c>
      <c r="H224" s="7">
        <v>10.78287314310132</v>
      </c>
      <c r="I224" s="7">
        <v>11.904404955186328</v>
      </c>
      <c r="J224" s="7">
        <v>13.334501750605014</v>
      </c>
      <c r="K224" s="7">
        <v>14.431428511623558</v>
      </c>
      <c r="L224" s="7">
        <v>15.604652713098261</v>
      </c>
      <c r="M224" s="7">
        <v>6.7379018295086777</v>
      </c>
      <c r="N224" s="7">
        <v>12.4</v>
      </c>
      <c r="O224" s="7">
        <v>12.4</v>
      </c>
      <c r="P224" s="7">
        <f t="shared" si="3"/>
        <v>0</v>
      </c>
      <c r="Q224" s="17">
        <v>81.920551112216771</v>
      </c>
      <c r="R224" s="14">
        <v>105</v>
      </c>
      <c r="S224" s="7">
        <v>23.079448887783229</v>
      </c>
      <c r="T224" s="8" t="s">
        <v>909</v>
      </c>
    </row>
    <row r="225" spans="1:20">
      <c r="A225" s="5" t="s">
        <v>461</v>
      </c>
      <c r="B225" s="5" t="s">
        <v>462</v>
      </c>
      <c r="C225" s="5" t="s">
        <v>18</v>
      </c>
      <c r="D225" s="5">
        <v>2</v>
      </c>
      <c r="E225" s="6" t="s">
        <v>266</v>
      </c>
      <c r="F225" s="10">
        <v>700</v>
      </c>
      <c r="G225" s="7">
        <v>9.1247882090936212</v>
      </c>
      <c r="H225" s="7">
        <v>10.78287314310132</v>
      </c>
      <c r="I225" s="7">
        <v>11.904404955186328</v>
      </c>
      <c r="J225" s="7">
        <v>13.334501750605014</v>
      </c>
      <c r="K225" s="7">
        <v>14.431428511623558</v>
      </c>
      <c r="L225" s="7">
        <v>15.604652713098261</v>
      </c>
      <c r="M225" s="7">
        <v>6.7379018295086777</v>
      </c>
      <c r="N225" s="7">
        <v>7.8</v>
      </c>
      <c r="O225" s="7">
        <v>11.2</v>
      </c>
      <c r="P225" s="7">
        <f t="shared" si="3"/>
        <v>3.3999999999999995</v>
      </c>
      <c r="Q225" s="17">
        <v>81.920551112216771</v>
      </c>
      <c r="R225" s="14">
        <v>75</v>
      </c>
      <c r="S225" s="7">
        <v>-6.9205511122167707</v>
      </c>
      <c r="T225" s="8" t="s">
        <v>910</v>
      </c>
    </row>
    <row r="226" spans="1:20">
      <c r="A226" s="5" t="s">
        <v>463</v>
      </c>
      <c r="B226" s="5" t="s">
        <v>464</v>
      </c>
      <c r="C226" s="5" t="s">
        <v>18</v>
      </c>
      <c r="D226" s="5">
        <v>3</v>
      </c>
      <c r="E226" s="6" t="s">
        <v>266</v>
      </c>
      <c r="F226" s="10">
        <v>700</v>
      </c>
      <c r="G226" s="7">
        <v>9.1247882090936212</v>
      </c>
      <c r="H226" s="7">
        <v>10.78287314310132</v>
      </c>
      <c r="I226" s="7">
        <v>11.904404955186328</v>
      </c>
      <c r="J226" s="7">
        <v>13.334501750605014</v>
      </c>
      <c r="K226" s="7">
        <v>14.431428511623558</v>
      </c>
      <c r="L226" s="7">
        <v>15.604652713098261</v>
      </c>
      <c r="M226" s="7">
        <v>6.7379018295086777</v>
      </c>
      <c r="N226" s="7">
        <v>11.3</v>
      </c>
      <c r="O226" s="7">
        <v>12</v>
      </c>
      <c r="P226" s="7">
        <f t="shared" si="3"/>
        <v>0.69999999999999929</v>
      </c>
      <c r="Q226" s="17">
        <v>81.920551112216771</v>
      </c>
      <c r="R226" s="14">
        <v>92</v>
      </c>
      <c r="S226" s="7">
        <v>10.079448887783229</v>
      </c>
      <c r="T226" s="8" t="s">
        <v>909</v>
      </c>
    </row>
    <row r="227" spans="1:20">
      <c r="A227" s="5" t="s">
        <v>465</v>
      </c>
      <c r="B227" s="5" t="s">
        <v>466</v>
      </c>
      <c r="C227" s="5" t="s">
        <v>18</v>
      </c>
      <c r="D227" s="5">
        <v>4</v>
      </c>
      <c r="E227" s="6" t="s">
        <v>266</v>
      </c>
      <c r="F227" s="10">
        <v>700</v>
      </c>
      <c r="G227" s="7">
        <v>9.1247882090936212</v>
      </c>
      <c r="H227" s="7">
        <v>10.78287314310132</v>
      </c>
      <c r="I227" s="7">
        <v>11.904404955186328</v>
      </c>
      <c r="J227" s="7">
        <v>13.334501750605014</v>
      </c>
      <c r="K227" s="7">
        <v>14.431428511623558</v>
      </c>
      <c r="L227" s="7">
        <v>15.604652713098261</v>
      </c>
      <c r="M227" s="7">
        <v>6.7379018295086777</v>
      </c>
      <c r="N227" s="7">
        <v>12.1</v>
      </c>
      <c r="O227" s="7">
        <v>7.2</v>
      </c>
      <c r="P227" s="7">
        <f t="shared" si="3"/>
        <v>-4.8999999999999995</v>
      </c>
      <c r="Q227" s="17">
        <v>81.920551112216771</v>
      </c>
      <c r="R227" s="14">
        <v>55</v>
      </c>
      <c r="S227" s="7">
        <v>-26.920551112216771</v>
      </c>
      <c r="T227" s="8" t="s">
        <v>910</v>
      </c>
    </row>
    <row r="228" spans="1:20">
      <c r="A228" s="5" t="s">
        <v>467</v>
      </c>
      <c r="B228" s="5" t="s">
        <v>468</v>
      </c>
      <c r="C228" s="5" t="s">
        <v>18</v>
      </c>
      <c r="D228" s="5">
        <v>3</v>
      </c>
      <c r="E228" s="6" t="s">
        <v>266</v>
      </c>
      <c r="F228" s="10">
        <v>700</v>
      </c>
      <c r="G228" s="7">
        <v>9.1247882090936212</v>
      </c>
      <c r="H228" s="7">
        <v>10.78287314310132</v>
      </c>
      <c r="I228" s="7">
        <v>11.904404955186328</v>
      </c>
      <c r="J228" s="7">
        <v>13.334501750605014</v>
      </c>
      <c r="K228" s="7">
        <v>14.431428511623558</v>
      </c>
      <c r="L228" s="7">
        <v>15.604652713098261</v>
      </c>
      <c r="M228" s="7">
        <v>6.7379018295086777</v>
      </c>
      <c r="N228" s="7">
        <v>9.4</v>
      </c>
      <c r="O228" s="7">
        <v>7.2</v>
      </c>
      <c r="P228" s="7">
        <f t="shared" si="3"/>
        <v>-2.2000000000000002</v>
      </c>
      <c r="Q228" s="17">
        <v>81.920551112216771</v>
      </c>
      <c r="R228" s="14">
        <v>56</v>
      </c>
      <c r="S228" s="7">
        <v>-25.920551112216771</v>
      </c>
      <c r="T228" s="8" t="s">
        <v>910</v>
      </c>
    </row>
    <row r="229" spans="1:20">
      <c r="A229" s="5" t="s">
        <v>469</v>
      </c>
      <c r="B229" s="5" t="s">
        <v>470</v>
      </c>
      <c r="C229" s="5" t="s">
        <v>18</v>
      </c>
      <c r="D229" s="5">
        <v>4</v>
      </c>
      <c r="E229" s="6" t="s">
        <v>266</v>
      </c>
      <c r="F229" s="10">
        <v>700</v>
      </c>
      <c r="G229" s="7">
        <v>9.1247882090936212</v>
      </c>
      <c r="H229" s="7">
        <v>10.78287314310132</v>
      </c>
      <c r="I229" s="7">
        <v>11.904404955186328</v>
      </c>
      <c r="J229" s="7">
        <v>13.334501750605014</v>
      </c>
      <c r="K229" s="7">
        <v>14.431428511623558</v>
      </c>
      <c r="L229" s="7">
        <v>15.604652713098261</v>
      </c>
      <c r="M229" s="7">
        <v>6.7379018295086777</v>
      </c>
      <c r="N229" s="7">
        <v>13.5</v>
      </c>
      <c r="O229" s="7">
        <v>23.6</v>
      </c>
      <c r="P229" s="7">
        <f t="shared" si="3"/>
        <v>10.100000000000001</v>
      </c>
      <c r="Q229" s="17">
        <v>81.920551112216771</v>
      </c>
      <c r="R229" s="14">
        <v>152</v>
      </c>
      <c r="S229" s="7">
        <v>70.079448887783229</v>
      </c>
      <c r="T229" s="8" t="s">
        <v>909</v>
      </c>
    </row>
    <row r="230" spans="1:20">
      <c r="A230" s="5" t="s">
        <v>471</v>
      </c>
      <c r="B230" s="5" t="s">
        <v>472</v>
      </c>
      <c r="C230" s="5" t="s">
        <v>18</v>
      </c>
      <c r="D230" s="5">
        <v>2</v>
      </c>
      <c r="E230" s="6" t="s">
        <v>266</v>
      </c>
      <c r="F230" s="10">
        <v>700</v>
      </c>
      <c r="G230" s="7">
        <v>8.9701307818208473</v>
      </c>
      <c r="H230" s="7">
        <v>10.600112581353841</v>
      </c>
      <c r="I230" s="7">
        <v>11.702635379674694</v>
      </c>
      <c r="J230" s="7">
        <v>13.108493246357472</v>
      </c>
      <c r="K230" s="7">
        <v>14.1868280283757</v>
      </c>
      <c r="L230" s="7">
        <v>15.340167073893205</v>
      </c>
      <c r="M230" s="7">
        <v>6.6237001035848015</v>
      </c>
      <c r="N230" s="7">
        <v>11.2</v>
      </c>
      <c r="O230" s="7">
        <v>10.8</v>
      </c>
      <c r="P230" s="7">
        <f t="shared" si="3"/>
        <v>-0.39999999999999858</v>
      </c>
      <c r="Q230" s="17">
        <v>80.532067195060549</v>
      </c>
      <c r="R230" s="14">
        <v>75</v>
      </c>
      <c r="S230" s="7">
        <v>-5.5320671950605487</v>
      </c>
      <c r="T230" s="8" t="s">
        <v>910</v>
      </c>
    </row>
    <row r="231" spans="1:20">
      <c r="A231" s="5" t="s">
        <v>473</v>
      </c>
      <c r="B231" s="5" t="s">
        <v>474</v>
      </c>
      <c r="C231" s="5" t="s">
        <v>18</v>
      </c>
      <c r="D231" s="5">
        <v>1</v>
      </c>
      <c r="E231" s="6" t="s">
        <v>266</v>
      </c>
      <c r="F231" s="10">
        <v>700</v>
      </c>
      <c r="G231" s="7">
        <v>8.9701307818208473</v>
      </c>
      <c r="H231" s="7">
        <v>10.600112581353841</v>
      </c>
      <c r="I231" s="7">
        <v>11.702635379674694</v>
      </c>
      <c r="J231" s="7">
        <v>13.108493246357472</v>
      </c>
      <c r="K231" s="7">
        <v>14.1868280283757</v>
      </c>
      <c r="L231" s="7">
        <v>15.340167073893205</v>
      </c>
      <c r="M231" s="7">
        <v>6.6237001035848015</v>
      </c>
      <c r="N231" s="7">
        <v>12</v>
      </c>
      <c r="O231" s="7">
        <v>16.399999999999999</v>
      </c>
      <c r="P231" s="7">
        <f t="shared" si="3"/>
        <v>4.3999999999999986</v>
      </c>
      <c r="Q231" s="17">
        <v>80.532067195060549</v>
      </c>
      <c r="R231" s="14">
        <v>116</v>
      </c>
      <c r="S231" s="7">
        <v>35.467932804939451</v>
      </c>
      <c r="T231" s="8" t="s">
        <v>909</v>
      </c>
    </row>
    <row r="232" spans="1:20">
      <c r="A232" s="5" t="s">
        <v>475</v>
      </c>
      <c r="B232" s="5" t="s">
        <v>476</v>
      </c>
      <c r="C232" s="5" t="s">
        <v>18</v>
      </c>
      <c r="D232" s="5">
        <v>4</v>
      </c>
      <c r="E232" s="6" t="s">
        <v>266</v>
      </c>
      <c r="F232" s="10">
        <v>700</v>
      </c>
      <c r="G232" s="7">
        <v>8.8154733545480735</v>
      </c>
      <c r="H232" s="7">
        <v>10.417352019606358</v>
      </c>
      <c r="I232" s="7">
        <v>11.500865804163061</v>
      </c>
      <c r="J232" s="7">
        <v>12.882484742109929</v>
      </c>
      <c r="K232" s="7">
        <v>13.942227545127844</v>
      </c>
      <c r="L232" s="7">
        <v>15.07568143468815</v>
      </c>
      <c r="M232" s="7">
        <v>6.5094983776609245</v>
      </c>
      <c r="N232" s="7">
        <v>12.4</v>
      </c>
      <c r="O232" s="7">
        <v>9.6</v>
      </c>
      <c r="P232" s="7">
        <f t="shared" si="3"/>
        <v>-2.8000000000000007</v>
      </c>
      <c r="Q232" s="17">
        <v>79.143583277904327</v>
      </c>
      <c r="R232" s="14">
        <v>146</v>
      </c>
      <c r="S232" s="7">
        <v>66.856416722095673</v>
      </c>
      <c r="T232" s="8" t="s">
        <v>909</v>
      </c>
    </row>
    <row r="233" spans="1:20">
      <c r="A233" s="5" t="s">
        <v>477</v>
      </c>
      <c r="B233" s="5" t="s">
        <v>478</v>
      </c>
      <c r="C233" s="5" t="s">
        <v>18</v>
      </c>
      <c r="D233" s="5">
        <v>2</v>
      </c>
      <c r="E233" s="6" t="s">
        <v>266</v>
      </c>
      <c r="F233" s="10">
        <v>700</v>
      </c>
      <c r="G233" s="7">
        <v>8.8154733545480735</v>
      </c>
      <c r="H233" s="7">
        <v>10.417352019606358</v>
      </c>
      <c r="I233" s="7">
        <v>11.500865804163061</v>
      </c>
      <c r="J233" s="7">
        <v>12.882484742109929</v>
      </c>
      <c r="K233" s="7">
        <v>13.942227545127844</v>
      </c>
      <c r="L233" s="7">
        <v>15.07568143468815</v>
      </c>
      <c r="M233" s="7">
        <v>6.5094983776609245</v>
      </c>
      <c r="N233" s="7">
        <v>9.4</v>
      </c>
      <c r="O233" s="7">
        <v>10.8</v>
      </c>
      <c r="P233" s="7">
        <f t="shared" si="3"/>
        <v>1.4000000000000004</v>
      </c>
      <c r="Q233" s="17">
        <v>79.143583277904327</v>
      </c>
      <c r="R233" s="14">
        <v>73</v>
      </c>
      <c r="S233" s="7">
        <v>-6.1435832779043267</v>
      </c>
      <c r="T233" s="8" t="s">
        <v>910</v>
      </c>
    </row>
    <row r="234" spans="1:20">
      <c r="A234" s="5" t="s">
        <v>479</v>
      </c>
      <c r="B234" s="5" t="s">
        <v>480</v>
      </c>
      <c r="C234" s="5" t="s">
        <v>18</v>
      </c>
      <c r="D234" s="5">
        <v>3</v>
      </c>
      <c r="E234" s="6" t="s">
        <v>266</v>
      </c>
      <c r="F234" s="10">
        <v>700</v>
      </c>
      <c r="G234" s="7">
        <v>8.6608159272752996</v>
      </c>
      <c r="H234" s="7">
        <v>10.23459145785888</v>
      </c>
      <c r="I234" s="7">
        <v>11.299096228651427</v>
      </c>
      <c r="J234" s="7">
        <v>12.656476237862385</v>
      </c>
      <c r="K234" s="7">
        <v>13.697627061879986</v>
      </c>
      <c r="L234" s="7">
        <v>14.811195795483094</v>
      </c>
      <c r="M234" s="7">
        <v>6.3952966517370493</v>
      </c>
      <c r="N234" s="7">
        <v>10.8</v>
      </c>
      <c r="O234" s="7">
        <v>10</v>
      </c>
      <c r="P234" s="7">
        <f t="shared" si="3"/>
        <v>-0.80000000000000071</v>
      </c>
      <c r="Q234" s="17">
        <v>77.755099360748119</v>
      </c>
      <c r="R234" s="14">
        <v>74</v>
      </c>
      <c r="S234" s="7">
        <v>-3.7550993607481189</v>
      </c>
      <c r="T234" s="8" t="s">
        <v>910</v>
      </c>
    </row>
    <row r="235" spans="1:20">
      <c r="A235" s="5" t="s">
        <v>481</v>
      </c>
      <c r="B235" s="5" t="s">
        <v>482</v>
      </c>
      <c r="C235" s="5" t="s">
        <v>18</v>
      </c>
      <c r="D235" s="5">
        <v>2</v>
      </c>
      <c r="E235" s="6" t="s">
        <v>266</v>
      </c>
      <c r="F235" s="10">
        <v>700</v>
      </c>
      <c r="G235" s="7">
        <v>8.6608159272752996</v>
      </c>
      <c r="H235" s="7">
        <v>10.23459145785888</v>
      </c>
      <c r="I235" s="7">
        <v>11.299096228651427</v>
      </c>
      <c r="J235" s="7">
        <v>12.656476237862385</v>
      </c>
      <c r="K235" s="7">
        <v>13.697627061879986</v>
      </c>
      <c r="L235" s="7">
        <v>14.811195795483094</v>
      </c>
      <c r="M235" s="7">
        <v>6.3952966517370493</v>
      </c>
      <c r="N235" s="7">
        <v>17.3</v>
      </c>
      <c r="O235" s="7">
        <v>23.8</v>
      </c>
      <c r="P235" s="7">
        <f t="shared" si="3"/>
        <v>6.5</v>
      </c>
      <c r="Q235" s="17">
        <v>77.755099360748119</v>
      </c>
      <c r="R235" s="14">
        <v>164</v>
      </c>
      <c r="S235" s="7">
        <v>86.244900639251881</v>
      </c>
      <c r="T235" s="8" t="s">
        <v>909</v>
      </c>
    </row>
    <row r="236" spans="1:20">
      <c r="A236" s="5" t="s">
        <v>483</v>
      </c>
      <c r="B236" s="5" t="s">
        <v>484</v>
      </c>
      <c r="C236" s="5" t="s">
        <v>18</v>
      </c>
      <c r="D236" s="5">
        <v>3</v>
      </c>
      <c r="E236" s="6" t="s">
        <v>266</v>
      </c>
      <c r="F236" s="10">
        <v>700</v>
      </c>
      <c r="G236" s="7">
        <v>8.6608159272752996</v>
      </c>
      <c r="H236" s="7">
        <v>10.23459145785888</v>
      </c>
      <c r="I236" s="7">
        <v>11.299096228651427</v>
      </c>
      <c r="J236" s="7">
        <v>12.656476237862385</v>
      </c>
      <c r="K236" s="7">
        <v>13.697627061879986</v>
      </c>
      <c r="L236" s="7">
        <v>14.811195795483094</v>
      </c>
      <c r="M236" s="7">
        <v>6.3952966517370493</v>
      </c>
      <c r="N236" s="7">
        <v>12.4</v>
      </c>
      <c r="O236" s="7">
        <v>8.6</v>
      </c>
      <c r="P236" s="7">
        <f t="shared" si="3"/>
        <v>-3.8000000000000007</v>
      </c>
      <c r="Q236" s="17">
        <v>77.755099360748119</v>
      </c>
      <c r="R236" s="14">
        <v>69</v>
      </c>
      <c r="S236" s="7">
        <v>-8.7550993607481189</v>
      </c>
      <c r="T236" s="8" t="s">
        <v>910</v>
      </c>
    </row>
    <row r="237" spans="1:20">
      <c r="A237" s="5" t="s">
        <v>485</v>
      </c>
      <c r="B237" s="5" t="s">
        <v>486</v>
      </c>
      <c r="C237" s="5" t="s">
        <v>67</v>
      </c>
      <c r="D237" s="5">
        <v>1</v>
      </c>
      <c r="E237" s="6" t="s">
        <v>266</v>
      </c>
      <c r="F237" s="10">
        <v>700</v>
      </c>
      <c r="G237" s="7">
        <v>8.6608159272752996</v>
      </c>
      <c r="H237" s="7">
        <v>10.23459145785888</v>
      </c>
      <c r="I237" s="7">
        <v>11.299096228651427</v>
      </c>
      <c r="J237" s="7">
        <v>12.656476237862385</v>
      </c>
      <c r="K237" s="7">
        <v>13.697627061879986</v>
      </c>
      <c r="L237" s="7">
        <v>14.811195795483094</v>
      </c>
      <c r="M237" s="7">
        <v>6.3952966517370493</v>
      </c>
      <c r="N237" s="7">
        <v>8.5</v>
      </c>
      <c r="O237" s="7">
        <v>13.8</v>
      </c>
      <c r="P237" s="7">
        <f t="shared" si="3"/>
        <v>5.3000000000000007</v>
      </c>
      <c r="Q237" s="17">
        <v>77.755099360748119</v>
      </c>
      <c r="R237" s="14">
        <v>103</v>
      </c>
      <c r="S237" s="7">
        <v>25.244900639251881</v>
      </c>
      <c r="T237" s="8" t="s">
        <v>909</v>
      </c>
    </row>
    <row r="238" spans="1:20">
      <c r="A238" s="5" t="s">
        <v>487</v>
      </c>
      <c r="B238" s="5" t="s">
        <v>488</v>
      </c>
      <c r="C238" s="5" t="s">
        <v>18</v>
      </c>
      <c r="D238" s="5">
        <v>1</v>
      </c>
      <c r="E238" s="6" t="s">
        <v>266</v>
      </c>
      <c r="F238" s="10">
        <v>700</v>
      </c>
      <c r="G238" s="7">
        <v>8.5061585000025275</v>
      </c>
      <c r="H238" s="7">
        <v>10.051830896111399</v>
      </c>
      <c r="I238" s="7">
        <v>11.097326653139795</v>
      </c>
      <c r="J238" s="7">
        <v>12.430467733614842</v>
      </c>
      <c r="K238" s="7">
        <v>13.45302657863213</v>
      </c>
      <c r="L238" s="7">
        <v>14.54671015627804</v>
      </c>
      <c r="M238" s="7">
        <v>6.2810949258131732</v>
      </c>
      <c r="N238" s="7">
        <v>10.7</v>
      </c>
      <c r="O238" s="7">
        <v>11.4</v>
      </c>
      <c r="P238" s="7">
        <f t="shared" si="3"/>
        <v>0.70000000000000107</v>
      </c>
      <c r="Q238" s="17">
        <v>76.366615443591911</v>
      </c>
      <c r="R238" s="14">
        <v>82</v>
      </c>
      <c r="S238" s="7">
        <v>5.6333845564080889</v>
      </c>
      <c r="T238" s="8" t="s">
        <v>909</v>
      </c>
    </row>
    <row r="239" spans="1:20">
      <c r="A239" s="5" t="s">
        <v>489</v>
      </c>
      <c r="B239" s="5" t="s">
        <v>490</v>
      </c>
      <c r="C239" s="5" t="s">
        <v>18</v>
      </c>
      <c r="D239" s="5">
        <v>1</v>
      </c>
      <c r="E239" s="6" t="s">
        <v>266</v>
      </c>
      <c r="F239" s="10">
        <v>700</v>
      </c>
      <c r="G239" s="7">
        <v>8.5061585000025275</v>
      </c>
      <c r="H239" s="7">
        <v>10.051830896111399</v>
      </c>
      <c r="I239" s="7">
        <v>11.097326653139795</v>
      </c>
      <c r="J239" s="7">
        <v>12.430467733614842</v>
      </c>
      <c r="K239" s="7">
        <v>13.45302657863213</v>
      </c>
      <c r="L239" s="7">
        <v>14.54671015627804</v>
      </c>
      <c r="M239" s="7">
        <v>6.2810949258131732</v>
      </c>
      <c r="N239" s="7">
        <v>9.1999999999999993</v>
      </c>
      <c r="O239" s="7">
        <v>13.2</v>
      </c>
      <c r="P239" s="7">
        <f t="shared" si="3"/>
        <v>4</v>
      </c>
      <c r="Q239" s="17">
        <v>76.366615443591911</v>
      </c>
      <c r="R239" s="14">
        <v>84</v>
      </c>
      <c r="S239" s="7">
        <v>7.6333845564080889</v>
      </c>
      <c r="T239" s="8" t="s">
        <v>909</v>
      </c>
    </row>
    <row r="240" spans="1:20">
      <c r="A240" s="5" t="s">
        <v>491</v>
      </c>
      <c r="B240" s="5" t="s">
        <v>492</v>
      </c>
      <c r="C240" s="5" t="s">
        <v>18</v>
      </c>
      <c r="D240" s="5">
        <v>4</v>
      </c>
      <c r="E240" s="6" t="s">
        <v>266</v>
      </c>
      <c r="F240" s="10">
        <v>700</v>
      </c>
      <c r="G240" s="7">
        <v>8.5061585000025275</v>
      </c>
      <c r="H240" s="7">
        <v>10.051830896111399</v>
      </c>
      <c r="I240" s="7">
        <v>11.097326653139795</v>
      </c>
      <c r="J240" s="7">
        <v>12.430467733614842</v>
      </c>
      <c r="K240" s="7">
        <v>13.45302657863213</v>
      </c>
      <c r="L240" s="7">
        <v>14.54671015627804</v>
      </c>
      <c r="M240" s="7">
        <v>6.2810949258131732</v>
      </c>
      <c r="N240" s="7">
        <v>11.1</v>
      </c>
      <c r="O240" s="7">
        <v>6.2</v>
      </c>
      <c r="P240" s="7">
        <f t="shared" si="3"/>
        <v>-4.8999999999999995</v>
      </c>
      <c r="Q240" s="17">
        <v>76.366615443591911</v>
      </c>
      <c r="R240" s="14">
        <v>49</v>
      </c>
      <c r="S240" s="7">
        <v>-27.366615443591911</v>
      </c>
      <c r="T240" s="8" t="s">
        <v>910</v>
      </c>
    </row>
    <row r="241" spans="1:20">
      <c r="A241" s="5" t="s">
        <v>493</v>
      </c>
      <c r="B241" s="5" t="s">
        <v>494</v>
      </c>
      <c r="C241" s="5" t="s">
        <v>18</v>
      </c>
      <c r="D241" s="5">
        <v>3</v>
      </c>
      <c r="E241" s="6" t="s">
        <v>266</v>
      </c>
      <c r="F241" s="10">
        <v>700</v>
      </c>
      <c r="G241" s="7">
        <v>8.5061585000025275</v>
      </c>
      <c r="H241" s="7">
        <v>10.051830896111399</v>
      </c>
      <c r="I241" s="7">
        <v>11.097326653139795</v>
      </c>
      <c r="J241" s="7">
        <v>12.430467733614842</v>
      </c>
      <c r="K241" s="7">
        <v>13.45302657863213</v>
      </c>
      <c r="L241" s="7">
        <v>14.54671015627804</v>
      </c>
      <c r="M241" s="7">
        <v>6.2810949258131732</v>
      </c>
      <c r="N241" s="7">
        <v>12</v>
      </c>
      <c r="O241" s="7">
        <v>15.6</v>
      </c>
      <c r="P241" s="7">
        <f t="shared" si="3"/>
        <v>3.5999999999999996</v>
      </c>
      <c r="Q241" s="17">
        <v>76.366615443591911</v>
      </c>
      <c r="R241" s="14">
        <v>143</v>
      </c>
      <c r="S241" s="7">
        <v>66.633384556408089</v>
      </c>
      <c r="T241" s="8" t="s">
        <v>909</v>
      </c>
    </row>
    <row r="242" spans="1:20">
      <c r="A242" s="5" t="s">
        <v>495</v>
      </c>
      <c r="B242" s="5" t="s">
        <v>496</v>
      </c>
      <c r="C242" s="5" t="s">
        <v>18</v>
      </c>
      <c r="D242" s="5">
        <v>3</v>
      </c>
      <c r="E242" s="6" t="s">
        <v>266</v>
      </c>
      <c r="F242" s="10">
        <v>700</v>
      </c>
      <c r="G242" s="7">
        <v>8.5061585000025275</v>
      </c>
      <c r="H242" s="7">
        <v>10.051830896111399</v>
      </c>
      <c r="I242" s="7">
        <v>11.097326653139795</v>
      </c>
      <c r="J242" s="7">
        <v>12.430467733614842</v>
      </c>
      <c r="K242" s="7">
        <v>13.45302657863213</v>
      </c>
      <c r="L242" s="7">
        <v>14.54671015627804</v>
      </c>
      <c r="M242" s="7">
        <v>6.2810949258131732</v>
      </c>
      <c r="N242" s="7">
        <v>11.1</v>
      </c>
      <c r="O242" s="7">
        <v>23</v>
      </c>
      <c r="P242" s="7">
        <f t="shared" si="3"/>
        <v>11.9</v>
      </c>
      <c r="Q242" s="17">
        <v>76.366615443591911</v>
      </c>
      <c r="R242" s="14">
        <v>164</v>
      </c>
      <c r="S242" s="7">
        <v>87.633384556408089</v>
      </c>
      <c r="T242" s="8" t="s">
        <v>909</v>
      </c>
    </row>
    <row r="243" spans="1:20">
      <c r="A243" s="5" t="s">
        <v>497</v>
      </c>
      <c r="B243" s="5" t="s">
        <v>498</v>
      </c>
      <c r="C243" s="5" t="s">
        <v>18</v>
      </c>
      <c r="D243" s="5">
        <v>4</v>
      </c>
      <c r="E243" s="6" t="s">
        <v>266</v>
      </c>
      <c r="F243" s="10">
        <v>700</v>
      </c>
      <c r="G243" s="7">
        <v>8.5061585000025275</v>
      </c>
      <c r="H243" s="7">
        <v>10.051830896111399</v>
      </c>
      <c r="I243" s="7">
        <v>11.097326653139795</v>
      </c>
      <c r="J243" s="7">
        <v>12.430467733614842</v>
      </c>
      <c r="K243" s="7">
        <v>13.45302657863213</v>
      </c>
      <c r="L243" s="7">
        <v>14.54671015627804</v>
      </c>
      <c r="M243" s="7">
        <v>6.2810949258131732</v>
      </c>
      <c r="N243" s="7">
        <v>10.6</v>
      </c>
      <c r="O243" s="7">
        <v>9</v>
      </c>
      <c r="P243" s="7">
        <f t="shared" si="3"/>
        <v>-1.5999999999999996</v>
      </c>
      <c r="Q243" s="17">
        <v>76.366615443591911</v>
      </c>
      <c r="R243" s="14">
        <v>53</v>
      </c>
      <c r="S243" s="7">
        <v>-23.366615443591911</v>
      </c>
      <c r="T243" s="8" t="s">
        <v>910</v>
      </c>
    </row>
    <row r="244" spans="1:20">
      <c r="A244" s="5" t="s">
        <v>499</v>
      </c>
      <c r="B244" s="5" t="s">
        <v>500</v>
      </c>
      <c r="C244" s="5" t="s">
        <v>18</v>
      </c>
      <c r="D244" s="5">
        <v>1</v>
      </c>
      <c r="E244" s="6" t="s">
        <v>266</v>
      </c>
      <c r="F244" s="10">
        <v>700</v>
      </c>
      <c r="G244" s="7">
        <v>8.1968436454569815</v>
      </c>
      <c r="H244" s="7">
        <v>9.6863097726164398</v>
      </c>
      <c r="I244" s="7">
        <v>10.693787502116532</v>
      </c>
      <c r="J244" s="7">
        <v>11.978450725119759</v>
      </c>
      <c r="K244" s="7">
        <v>12.963825612136418</v>
      </c>
      <c r="L244" s="7">
        <v>14.017738877867931</v>
      </c>
      <c r="M244" s="7">
        <v>6.0526914739654218</v>
      </c>
      <c r="N244" s="7">
        <v>11.8</v>
      </c>
      <c r="O244" s="7">
        <v>9.8000000000000007</v>
      </c>
      <c r="P244" s="7">
        <f t="shared" si="3"/>
        <v>-2</v>
      </c>
      <c r="Q244" s="17">
        <v>73.589647609279481</v>
      </c>
      <c r="R244" s="14">
        <v>87</v>
      </c>
      <c r="S244" s="7">
        <v>13.410352390720519</v>
      </c>
      <c r="T244" s="8" t="s">
        <v>909</v>
      </c>
    </row>
    <row r="245" spans="1:20">
      <c r="A245" s="5" t="s">
        <v>501</v>
      </c>
      <c r="B245" s="5" t="s">
        <v>502</v>
      </c>
      <c r="C245" s="5" t="s">
        <v>18</v>
      </c>
      <c r="D245" s="5">
        <v>3</v>
      </c>
      <c r="E245" s="6" t="s">
        <v>266</v>
      </c>
      <c r="F245" s="10">
        <v>700</v>
      </c>
      <c r="G245" s="7">
        <v>8.1968436454569815</v>
      </c>
      <c r="H245" s="7">
        <v>9.6863097726164398</v>
      </c>
      <c r="I245" s="7">
        <v>10.693787502116532</v>
      </c>
      <c r="J245" s="7">
        <v>11.978450725119759</v>
      </c>
      <c r="K245" s="7">
        <v>12.963825612136418</v>
      </c>
      <c r="L245" s="7">
        <v>14.017738877867931</v>
      </c>
      <c r="M245" s="7">
        <v>6.0526914739654218</v>
      </c>
      <c r="N245" s="7">
        <v>11.1</v>
      </c>
      <c r="O245" s="7">
        <v>9.4</v>
      </c>
      <c r="P245" s="7">
        <f t="shared" si="3"/>
        <v>-1.6999999999999993</v>
      </c>
      <c r="Q245" s="17">
        <v>73.589647609279481</v>
      </c>
      <c r="R245" s="14">
        <v>86</v>
      </c>
      <c r="S245" s="7">
        <v>12.410352390720519</v>
      </c>
      <c r="T245" s="8" t="s">
        <v>909</v>
      </c>
    </row>
    <row r="246" spans="1:20">
      <c r="A246" s="5" t="s">
        <v>503</v>
      </c>
      <c r="B246" s="5" t="s">
        <v>504</v>
      </c>
      <c r="C246" s="5" t="s">
        <v>18</v>
      </c>
      <c r="D246" s="5">
        <v>4</v>
      </c>
      <c r="E246" s="6" t="s">
        <v>266</v>
      </c>
      <c r="F246" s="10">
        <v>700</v>
      </c>
      <c r="G246" s="7">
        <v>8.1968436454569815</v>
      </c>
      <c r="H246" s="7">
        <v>9.6863097726164398</v>
      </c>
      <c r="I246" s="7">
        <v>10.693787502116532</v>
      </c>
      <c r="J246" s="7">
        <v>11.978450725119759</v>
      </c>
      <c r="K246" s="7">
        <v>12.963825612136418</v>
      </c>
      <c r="L246" s="7">
        <v>14.017738877867931</v>
      </c>
      <c r="M246" s="7">
        <v>6.0526914739654218</v>
      </c>
      <c r="N246" s="7">
        <v>10.9</v>
      </c>
      <c r="O246" s="7">
        <v>6.4</v>
      </c>
      <c r="P246" s="7">
        <f t="shared" si="3"/>
        <v>-4.5</v>
      </c>
      <c r="Q246" s="17">
        <v>73.589647609279481</v>
      </c>
      <c r="R246" s="14">
        <v>55</v>
      </c>
      <c r="S246" s="7">
        <v>-18.589647609279481</v>
      </c>
      <c r="T246" s="8" t="s">
        <v>910</v>
      </c>
    </row>
    <row r="247" spans="1:20">
      <c r="A247" s="5" t="s">
        <v>505</v>
      </c>
      <c r="B247" s="5" t="s">
        <v>506</v>
      </c>
      <c r="C247" s="5" t="s">
        <v>67</v>
      </c>
      <c r="D247" s="5">
        <v>1</v>
      </c>
      <c r="E247" s="6" t="s">
        <v>266</v>
      </c>
      <c r="F247" s="10">
        <v>700</v>
      </c>
      <c r="G247" s="7">
        <v>8.1968436454569815</v>
      </c>
      <c r="H247" s="7">
        <v>9.6863097726164398</v>
      </c>
      <c r="I247" s="7">
        <v>10.693787502116532</v>
      </c>
      <c r="J247" s="7">
        <v>11.978450725119759</v>
      </c>
      <c r="K247" s="7">
        <v>12.963825612136418</v>
      </c>
      <c r="L247" s="7">
        <v>14.017738877867931</v>
      </c>
      <c r="M247" s="7">
        <v>6.0526914739654218</v>
      </c>
      <c r="N247" s="7">
        <v>9.1999999999999993</v>
      </c>
      <c r="O247" s="7">
        <v>10</v>
      </c>
      <c r="P247" s="7">
        <f t="shared" si="3"/>
        <v>0.80000000000000071</v>
      </c>
      <c r="Q247" s="17">
        <v>73.589647609279481</v>
      </c>
      <c r="R247" s="14">
        <v>77</v>
      </c>
      <c r="S247" s="7">
        <v>3.4103523907205187</v>
      </c>
      <c r="T247" s="8" t="s">
        <v>909</v>
      </c>
    </row>
    <row r="248" spans="1:20">
      <c r="A248" s="5" t="s">
        <v>507</v>
      </c>
      <c r="B248" s="5" t="s">
        <v>508</v>
      </c>
      <c r="C248" s="5" t="s">
        <v>18</v>
      </c>
      <c r="D248" s="5">
        <v>1</v>
      </c>
      <c r="E248" s="6" t="s">
        <v>266</v>
      </c>
      <c r="F248" s="10">
        <v>700</v>
      </c>
      <c r="G248" s="7">
        <v>8.1968436454569815</v>
      </c>
      <c r="H248" s="7">
        <v>9.6863097726164398</v>
      </c>
      <c r="I248" s="7">
        <v>10.693787502116532</v>
      </c>
      <c r="J248" s="7">
        <v>11.978450725119759</v>
      </c>
      <c r="K248" s="7">
        <v>12.963825612136418</v>
      </c>
      <c r="L248" s="7">
        <v>14.017738877867931</v>
      </c>
      <c r="M248" s="7">
        <v>6.0526914739654218</v>
      </c>
      <c r="N248" s="7">
        <v>11.1</v>
      </c>
      <c r="O248" s="7">
        <v>8.8000000000000007</v>
      </c>
      <c r="P248" s="7">
        <f t="shared" si="3"/>
        <v>-2.2999999999999989</v>
      </c>
      <c r="Q248" s="17">
        <v>73.589647609279481</v>
      </c>
      <c r="R248" s="14">
        <v>62</v>
      </c>
      <c r="S248" s="7">
        <v>-11.589647609279481</v>
      </c>
      <c r="T248" s="8" t="s">
        <v>910</v>
      </c>
    </row>
    <row r="249" spans="1:20">
      <c r="A249" s="5" t="s">
        <v>509</v>
      </c>
      <c r="B249" s="5" t="s">
        <v>510</v>
      </c>
      <c r="C249" s="5" t="s">
        <v>18</v>
      </c>
      <c r="D249" s="5">
        <v>1</v>
      </c>
      <c r="E249" s="6" t="s">
        <v>266</v>
      </c>
      <c r="F249" s="10">
        <v>700</v>
      </c>
      <c r="G249" s="7">
        <v>8.0421862181842076</v>
      </c>
      <c r="H249" s="7">
        <v>9.5035492108689592</v>
      </c>
      <c r="I249" s="7">
        <v>10.492017926604898</v>
      </c>
      <c r="J249" s="7">
        <v>11.752442220872217</v>
      </c>
      <c r="K249" s="7">
        <v>12.71922512888856</v>
      </c>
      <c r="L249" s="7">
        <v>13.753253238662875</v>
      </c>
      <c r="M249" s="7">
        <v>5.9384897480415457</v>
      </c>
      <c r="N249" s="7">
        <v>7.3</v>
      </c>
      <c r="O249" s="7">
        <v>8.8000000000000007</v>
      </c>
      <c r="P249" s="7">
        <f t="shared" si="3"/>
        <v>1.5000000000000009</v>
      </c>
      <c r="Q249" s="17">
        <v>72.201163692123259</v>
      </c>
      <c r="R249" s="14">
        <v>62</v>
      </c>
      <c r="S249" s="7">
        <v>-10.201163692123259</v>
      </c>
      <c r="T249" s="8" t="s">
        <v>910</v>
      </c>
    </row>
    <row r="250" spans="1:20">
      <c r="A250" s="5" t="s">
        <v>511</v>
      </c>
      <c r="B250" s="5" t="s">
        <v>512</v>
      </c>
      <c r="C250" s="5" t="s">
        <v>18</v>
      </c>
      <c r="D250" s="5">
        <v>1</v>
      </c>
      <c r="E250" s="6" t="s">
        <v>266</v>
      </c>
      <c r="F250" s="10">
        <v>700</v>
      </c>
      <c r="G250" s="7">
        <v>8.0421862181842076</v>
      </c>
      <c r="H250" s="7">
        <v>9.5035492108689592</v>
      </c>
      <c r="I250" s="7">
        <v>10.492017926604898</v>
      </c>
      <c r="J250" s="7">
        <v>11.752442220872217</v>
      </c>
      <c r="K250" s="7">
        <v>12.71922512888856</v>
      </c>
      <c r="L250" s="7">
        <v>13.753253238662875</v>
      </c>
      <c r="M250" s="7">
        <v>5.9384897480415457</v>
      </c>
      <c r="N250" s="7">
        <v>10.1</v>
      </c>
      <c r="O250" s="7">
        <v>14.4</v>
      </c>
      <c r="P250" s="7">
        <f t="shared" si="3"/>
        <v>4.3000000000000007</v>
      </c>
      <c r="Q250" s="17">
        <v>72.201163692123259</v>
      </c>
      <c r="R250" s="14">
        <v>93</v>
      </c>
      <c r="S250" s="7">
        <v>20.798836307876741</v>
      </c>
      <c r="T250" s="8" t="s">
        <v>909</v>
      </c>
    </row>
    <row r="251" spans="1:20">
      <c r="A251" s="5" t="s">
        <v>513</v>
      </c>
      <c r="B251" s="5" t="s">
        <v>514</v>
      </c>
      <c r="C251" s="5" t="s">
        <v>18</v>
      </c>
      <c r="D251" s="5">
        <v>3</v>
      </c>
      <c r="E251" s="6" t="s">
        <v>266</v>
      </c>
      <c r="F251" s="10">
        <v>700</v>
      </c>
      <c r="G251" s="7">
        <v>8.0421862181842076</v>
      </c>
      <c r="H251" s="7">
        <v>9.5035492108689592</v>
      </c>
      <c r="I251" s="7">
        <v>10.492017926604898</v>
      </c>
      <c r="J251" s="7">
        <v>11.752442220872217</v>
      </c>
      <c r="K251" s="7">
        <v>12.71922512888856</v>
      </c>
      <c r="L251" s="7">
        <v>13.753253238662875</v>
      </c>
      <c r="M251" s="7">
        <v>5.9384897480415457</v>
      </c>
      <c r="N251" s="7">
        <v>9.6</v>
      </c>
      <c r="O251" s="7">
        <v>7.2</v>
      </c>
      <c r="P251" s="7">
        <f t="shared" si="3"/>
        <v>-2.3999999999999995</v>
      </c>
      <c r="Q251" s="17">
        <v>72.201163692123259</v>
      </c>
      <c r="R251" s="14">
        <v>57</v>
      </c>
      <c r="S251" s="7">
        <v>-15.201163692123259</v>
      </c>
      <c r="T251" s="8" t="s">
        <v>910</v>
      </c>
    </row>
    <row r="252" spans="1:20">
      <c r="A252" s="5" t="s">
        <v>515</v>
      </c>
      <c r="B252" s="5" t="s">
        <v>516</v>
      </c>
      <c r="C252" s="5" t="s">
        <v>18</v>
      </c>
      <c r="D252" s="5">
        <v>3</v>
      </c>
      <c r="E252" s="6" t="s">
        <v>266</v>
      </c>
      <c r="F252" s="10">
        <v>700</v>
      </c>
      <c r="G252" s="7">
        <v>8.0421862181842076</v>
      </c>
      <c r="H252" s="7">
        <v>9.5035492108689592</v>
      </c>
      <c r="I252" s="7">
        <v>10.492017926604898</v>
      </c>
      <c r="J252" s="7">
        <v>11.752442220872217</v>
      </c>
      <c r="K252" s="7">
        <v>12.71922512888856</v>
      </c>
      <c r="L252" s="7">
        <v>13.753253238662875</v>
      </c>
      <c r="M252" s="7">
        <v>5.9384897480415457</v>
      </c>
      <c r="N252" s="7">
        <v>10.5</v>
      </c>
      <c r="O252" s="7">
        <v>11.6</v>
      </c>
      <c r="P252" s="7">
        <f t="shared" si="3"/>
        <v>1.0999999999999996</v>
      </c>
      <c r="Q252" s="17">
        <v>72.201163692123259</v>
      </c>
      <c r="R252" s="14">
        <v>73</v>
      </c>
      <c r="S252" s="7">
        <v>0.79883630787674065</v>
      </c>
      <c r="T252" s="8" t="s">
        <v>909</v>
      </c>
    </row>
    <row r="253" spans="1:20">
      <c r="A253" s="5" t="s">
        <v>517</v>
      </c>
      <c r="B253" s="5" t="s">
        <v>518</v>
      </c>
      <c r="C253" s="5" t="s">
        <v>18</v>
      </c>
      <c r="D253" s="5">
        <v>4</v>
      </c>
      <c r="E253" s="6" t="s">
        <v>266</v>
      </c>
      <c r="F253" s="10">
        <v>700</v>
      </c>
      <c r="G253" s="7">
        <v>8.0421862181842076</v>
      </c>
      <c r="H253" s="7">
        <v>9.5035492108689592</v>
      </c>
      <c r="I253" s="7">
        <v>10.492017926604898</v>
      </c>
      <c r="J253" s="7">
        <v>11.752442220872217</v>
      </c>
      <c r="K253" s="7">
        <v>12.71922512888856</v>
      </c>
      <c r="L253" s="7">
        <v>13.753253238662875</v>
      </c>
      <c r="M253" s="7">
        <v>5.9384897480415457</v>
      </c>
      <c r="N253" s="7">
        <v>10.3</v>
      </c>
      <c r="O253" s="7">
        <v>6.8</v>
      </c>
      <c r="P253" s="7">
        <f t="shared" si="3"/>
        <v>-3.5000000000000009</v>
      </c>
      <c r="Q253" s="17">
        <v>72.201163692123259</v>
      </c>
      <c r="R253" s="14">
        <v>122</v>
      </c>
      <c r="S253" s="7">
        <v>49.798836307876741</v>
      </c>
      <c r="T253" s="8" t="s">
        <v>909</v>
      </c>
    </row>
    <row r="254" spans="1:20">
      <c r="A254" s="5" t="s">
        <v>519</v>
      </c>
      <c r="B254" s="5" t="s">
        <v>520</v>
      </c>
      <c r="C254" s="5" t="s">
        <v>67</v>
      </c>
      <c r="D254" s="5">
        <v>1</v>
      </c>
      <c r="E254" s="6" t="s">
        <v>266</v>
      </c>
      <c r="F254" s="10">
        <v>700</v>
      </c>
      <c r="G254" s="7">
        <v>8.0421862181842076</v>
      </c>
      <c r="H254" s="7">
        <v>9.5035492108689592</v>
      </c>
      <c r="I254" s="7">
        <v>10.492017926604898</v>
      </c>
      <c r="J254" s="7">
        <v>11.752442220872217</v>
      </c>
      <c r="K254" s="7">
        <v>12.71922512888856</v>
      </c>
      <c r="L254" s="7">
        <v>13.753253238662875</v>
      </c>
      <c r="M254" s="7">
        <v>5.9384897480415457</v>
      </c>
      <c r="N254" s="7">
        <v>11.1</v>
      </c>
      <c r="O254" s="7">
        <v>12.8</v>
      </c>
      <c r="P254" s="7">
        <f t="shared" si="3"/>
        <v>1.7000000000000011</v>
      </c>
      <c r="Q254" s="17">
        <v>72.201163692123259</v>
      </c>
      <c r="R254" s="14">
        <v>107</v>
      </c>
      <c r="S254" s="7">
        <v>34.798836307876741</v>
      </c>
      <c r="T254" s="8" t="s">
        <v>909</v>
      </c>
    </row>
    <row r="255" spans="1:20">
      <c r="A255" s="5" t="s">
        <v>521</v>
      </c>
      <c r="B255" s="5" t="s">
        <v>522</v>
      </c>
      <c r="C255" s="5" t="s">
        <v>67</v>
      </c>
      <c r="D255" s="5">
        <v>1</v>
      </c>
      <c r="E255" s="6" t="s">
        <v>266</v>
      </c>
      <c r="F255" s="10">
        <v>700</v>
      </c>
      <c r="G255" s="7">
        <v>8.0421862181842076</v>
      </c>
      <c r="H255" s="7">
        <v>9.5035492108689592</v>
      </c>
      <c r="I255" s="7">
        <v>10.492017926604898</v>
      </c>
      <c r="J255" s="7">
        <v>11.752442220872217</v>
      </c>
      <c r="K255" s="7">
        <v>12.71922512888856</v>
      </c>
      <c r="L255" s="7">
        <v>13.753253238662875</v>
      </c>
      <c r="M255" s="7">
        <v>5.9384897480415457</v>
      </c>
      <c r="N255" s="7">
        <v>9.6</v>
      </c>
      <c r="O255" s="7">
        <v>12.2</v>
      </c>
      <c r="P255" s="7">
        <f t="shared" si="3"/>
        <v>2.5999999999999996</v>
      </c>
      <c r="Q255" s="17">
        <v>72.201163692123259</v>
      </c>
      <c r="R255" s="14">
        <v>78</v>
      </c>
      <c r="S255" s="7">
        <v>5.7988363078767406</v>
      </c>
      <c r="T255" s="8" t="s">
        <v>909</v>
      </c>
    </row>
    <row r="256" spans="1:20">
      <c r="A256" s="5" t="s">
        <v>523</v>
      </c>
      <c r="B256" s="5" t="s">
        <v>524</v>
      </c>
      <c r="C256" s="5" t="s">
        <v>18</v>
      </c>
      <c r="D256" s="5">
        <v>4</v>
      </c>
      <c r="E256" s="6" t="s">
        <v>266</v>
      </c>
      <c r="F256" s="10">
        <v>700</v>
      </c>
      <c r="G256" s="7">
        <v>8.0421862181842076</v>
      </c>
      <c r="H256" s="7">
        <v>9.5035492108689592</v>
      </c>
      <c r="I256" s="7">
        <v>10.492017926604898</v>
      </c>
      <c r="J256" s="7">
        <v>11.752442220872217</v>
      </c>
      <c r="K256" s="7">
        <v>12.71922512888856</v>
      </c>
      <c r="L256" s="7">
        <v>13.753253238662875</v>
      </c>
      <c r="M256" s="7">
        <v>5.9384897480415457</v>
      </c>
      <c r="N256" s="7">
        <v>13.1</v>
      </c>
      <c r="O256" s="7">
        <v>10</v>
      </c>
      <c r="P256" s="7">
        <f t="shared" si="3"/>
        <v>-3.0999999999999996</v>
      </c>
      <c r="Q256" s="17">
        <v>72.201163692123259</v>
      </c>
      <c r="R256" s="14">
        <v>73</v>
      </c>
      <c r="S256" s="7">
        <v>0.79883630787674065</v>
      </c>
      <c r="T256" s="8" t="s">
        <v>909</v>
      </c>
    </row>
    <row r="257" spans="1:20">
      <c r="A257" s="5" t="s">
        <v>525</v>
      </c>
      <c r="B257" s="5" t="s">
        <v>526</v>
      </c>
      <c r="C257" s="5" t="s">
        <v>18</v>
      </c>
      <c r="D257" s="5">
        <v>4</v>
      </c>
      <c r="E257" s="6" t="s">
        <v>266</v>
      </c>
      <c r="F257" s="10">
        <v>700</v>
      </c>
      <c r="G257" s="7">
        <v>7.8875287909114347</v>
      </c>
      <c r="H257" s="7">
        <v>9.3207886491214786</v>
      </c>
      <c r="I257" s="7">
        <v>10.290248351093267</v>
      </c>
      <c r="J257" s="7">
        <v>11.526433716624673</v>
      </c>
      <c r="K257" s="7">
        <v>12.474624645640702</v>
      </c>
      <c r="L257" s="7">
        <v>13.48876759945782</v>
      </c>
      <c r="M257" s="7">
        <v>5.8242880221176696</v>
      </c>
      <c r="N257" s="7">
        <v>8.4</v>
      </c>
      <c r="O257" s="7">
        <v>9</v>
      </c>
      <c r="P257" s="7">
        <f t="shared" si="3"/>
        <v>0.59999999999999964</v>
      </c>
      <c r="Q257" s="17">
        <v>70.812679774967052</v>
      </c>
      <c r="R257" s="14">
        <v>62</v>
      </c>
      <c r="S257" s="7">
        <v>-8.8126797749670516</v>
      </c>
      <c r="T257" s="8" t="s">
        <v>910</v>
      </c>
    </row>
    <row r="258" spans="1:20">
      <c r="A258" s="5" t="s">
        <v>527</v>
      </c>
      <c r="B258" s="5" t="s">
        <v>528</v>
      </c>
      <c r="C258" s="5" t="s">
        <v>18</v>
      </c>
      <c r="D258" s="5">
        <v>2</v>
      </c>
      <c r="E258" s="6" t="s">
        <v>266</v>
      </c>
      <c r="F258" s="10">
        <v>700</v>
      </c>
      <c r="G258" s="7">
        <v>7.8875287909114347</v>
      </c>
      <c r="H258" s="7">
        <v>9.3207886491214786</v>
      </c>
      <c r="I258" s="7">
        <v>10.290248351093267</v>
      </c>
      <c r="J258" s="7">
        <v>11.526433716624673</v>
      </c>
      <c r="K258" s="7">
        <v>12.474624645640702</v>
      </c>
      <c r="L258" s="7">
        <v>13.48876759945782</v>
      </c>
      <c r="M258" s="7">
        <v>5.8242880221176696</v>
      </c>
      <c r="N258" s="7">
        <v>10.4</v>
      </c>
      <c r="O258" s="7">
        <v>13.8</v>
      </c>
      <c r="P258" s="7">
        <f t="shared" si="3"/>
        <v>3.4000000000000004</v>
      </c>
      <c r="Q258" s="17">
        <v>70.812679774967052</v>
      </c>
      <c r="R258" s="14">
        <v>104</v>
      </c>
      <c r="S258" s="7">
        <v>33.187320225032948</v>
      </c>
      <c r="T258" s="8" t="s">
        <v>909</v>
      </c>
    </row>
    <row r="259" spans="1:20">
      <c r="A259" s="5" t="s">
        <v>529</v>
      </c>
      <c r="B259" s="5" t="s">
        <v>530</v>
      </c>
      <c r="C259" s="5" t="s">
        <v>18</v>
      </c>
      <c r="D259" s="5">
        <v>2</v>
      </c>
      <c r="E259" s="6" t="s">
        <v>266</v>
      </c>
      <c r="F259" s="10">
        <v>700</v>
      </c>
      <c r="G259" s="7">
        <v>7.8875287909114347</v>
      </c>
      <c r="H259" s="7">
        <v>9.3207886491214786</v>
      </c>
      <c r="I259" s="7">
        <v>10.290248351093267</v>
      </c>
      <c r="J259" s="7">
        <v>11.526433716624673</v>
      </c>
      <c r="K259" s="7">
        <v>12.474624645640702</v>
      </c>
      <c r="L259" s="7">
        <v>13.48876759945782</v>
      </c>
      <c r="M259" s="7">
        <v>5.8242880221176696</v>
      </c>
      <c r="N259" s="7">
        <v>7.9</v>
      </c>
      <c r="O259" s="7">
        <v>12.2</v>
      </c>
      <c r="P259" s="7">
        <f t="shared" si="3"/>
        <v>4.2999999999999989</v>
      </c>
      <c r="Q259" s="17">
        <v>70.812679774967052</v>
      </c>
      <c r="R259" s="14">
        <v>145</v>
      </c>
      <c r="S259" s="7">
        <v>74.187320225032948</v>
      </c>
      <c r="T259" s="8" t="s">
        <v>909</v>
      </c>
    </row>
    <row r="260" spans="1:20">
      <c r="A260" s="5" t="s">
        <v>531</v>
      </c>
      <c r="B260" s="5" t="s">
        <v>532</v>
      </c>
      <c r="C260" s="5" t="s">
        <v>18</v>
      </c>
      <c r="D260" s="5">
        <v>2</v>
      </c>
      <c r="E260" s="6" t="s">
        <v>266</v>
      </c>
      <c r="F260" s="10">
        <v>700</v>
      </c>
      <c r="G260" s="7">
        <v>7.8875287909114347</v>
      </c>
      <c r="H260" s="7">
        <v>9.3207886491214786</v>
      </c>
      <c r="I260" s="7">
        <v>10.290248351093267</v>
      </c>
      <c r="J260" s="7">
        <v>11.526433716624673</v>
      </c>
      <c r="K260" s="7">
        <v>12.474624645640702</v>
      </c>
      <c r="L260" s="7">
        <v>13.48876759945782</v>
      </c>
      <c r="M260" s="7">
        <v>5.8242880221176696</v>
      </c>
      <c r="N260" s="7">
        <v>9.8000000000000007</v>
      </c>
      <c r="O260" s="7">
        <v>12</v>
      </c>
      <c r="P260" s="7">
        <f t="shared" si="3"/>
        <v>2.1999999999999993</v>
      </c>
      <c r="Q260" s="17">
        <v>70.812679774967052</v>
      </c>
      <c r="R260" s="14">
        <v>78</v>
      </c>
      <c r="S260" s="7">
        <v>7.1873202250329484</v>
      </c>
      <c r="T260" s="8" t="s">
        <v>909</v>
      </c>
    </row>
    <row r="261" spans="1:20">
      <c r="A261" s="5" t="s">
        <v>533</v>
      </c>
      <c r="B261" s="5" t="s">
        <v>534</v>
      </c>
      <c r="C261" s="5" t="s">
        <v>18</v>
      </c>
      <c r="D261" s="5">
        <v>2</v>
      </c>
      <c r="E261" s="6" t="s">
        <v>266</v>
      </c>
      <c r="F261" s="10">
        <v>700</v>
      </c>
      <c r="G261" s="7">
        <v>7.8875287909114347</v>
      </c>
      <c r="H261" s="7">
        <v>9.3207886491214786</v>
      </c>
      <c r="I261" s="7">
        <v>10.290248351093267</v>
      </c>
      <c r="J261" s="7">
        <v>11.526433716624673</v>
      </c>
      <c r="K261" s="7">
        <v>12.474624645640702</v>
      </c>
      <c r="L261" s="7">
        <v>13.48876759945782</v>
      </c>
      <c r="M261" s="7">
        <v>5.8242880221176696</v>
      </c>
      <c r="N261" s="7">
        <v>13.2</v>
      </c>
      <c r="O261" s="7">
        <v>13.4</v>
      </c>
      <c r="P261" s="7">
        <f t="shared" ref="P261:P324" si="4">O261-N261</f>
        <v>0.20000000000000107</v>
      </c>
      <c r="Q261" s="17">
        <v>70.812679774967052</v>
      </c>
      <c r="R261" s="14">
        <v>93</v>
      </c>
      <c r="S261" s="7">
        <v>22.187320225032948</v>
      </c>
      <c r="T261" s="8" t="s">
        <v>909</v>
      </c>
    </row>
    <row r="262" spans="1:20">
      <c r="A262" s="5" t="s">
        <v>535</v>
      </c>
      <c r="B262" s="5" t="s">
        <v>536</v>
      </c>
      <c r="C262" s="5" t="s">
        <v>67</v>
      </c>
      <c r="D262" s="5">
        <v>1</v>
      </c>
      <c r="E262" s="6" t="s">
        <v>266</v>
      </c>
      <c r="F262" s="10">
        <v>700</v>
      </c>
      <c r="G262" s="7">
        <v>7.8875287909114347</v>
      </c>
      <c r="H262" s="7">
        <v>9.3207886491214786</v>
      </c>
      <c r="I262" s="7">
        <v>10.290248351093267</v>
      </c>
      <c r="J262" s="7">
        <v>11.526433716624673</v>
      </c>
      <c r="K262" s="7">
        <v>12.474624645640702</v>
      </c>
      <c r="L262" s="7">
        <v>13.48876759945782</v>
      </c>
      <c r="M262" s="7">
        <v>5.8242880221176696</v>
      </c>
      <c r="N262" s="7">
        <v>13</v>
      </c>
      <c r="O262" s="7">
        <v>12.8</v>
      </c>
      <c r="P262" s="7">
        <f t="shared" si="4"/>
        <v>-0.19999999999999929</v>
      </c>
      <c r="Q262" s="17">
        <v>70.812679774967052</v>
      </c>
      <c r="R262" s="14">
        <v>99</v>
      </c>
      <c r="S262" s="7">
        <v>28.187320225032948</v>
      </c>
      <c r="T262" s="8" t="s">
        <v>909</v>
      </c>
    </row>
    <row r="263" spans="1:20">
      <c r="A263" s="5" t="s">
        <v>537</v>
      </c>
      <c r="B263" s="5" t="s">
        <v>538</v>
      </c>
      <c r="C263" s="5" t="s">
        <v>18</v>
      </c>
      <c r="D263" s="5">
        <v>1</v>
      </c>
      <c r="E263" s="6" t="s">
        <v>266</v>
      </c>
      <c r="F263" s="10">
        <v>700</v>
      </c>
      <c r="G263" s="7">
        <v>7.8875287909114347</v>
      </c>
      <c r="H263" s="7">
        <v>9.3207886491214786</v>
      </c>
      <c r="I263" s="7">
        <v>10.290248351093267</v>
      </c>
      <c r="J263" s="7">
        <v>11.526433716624673</v>
      </c>
      <c r="K263" s="7">
        <v>12.474624645640702</v>
      </c>
      <c r="L263" s="7">
        <v>13.48876759945782</v>
      </c>
      <c r="M263" s="7">
        <v>5.8242880221176696</v>
      </c>
      <c r="N263" s="7">
        <v>10.199999999999999</v>
      </c>
      <c r="O263" s="7">
        <v>6</v>
      </c>
      <c r="P263" s="7">
        <f t="shared" si="4"/>
        <v>-4.1999999999999993</v>
      </c>
      <c r="Q263" s="17">
        <v>70.812679774967052</v>
      </c>
      <c r="R263" s="14">
        <v>53</v>
      </c>
      <c r="S263" s="7">
        <v>-17.812679774967052</v>
      </c>
      <c r="T263" s="8" t="s">
        <v>910</v>
      </c>
    </row>
    <row r="264" spans="1:20">
      <c r="A264" s="5" t="s">
        <v>539</v>
      </c>
      <c r="B264" s="5" t="s">
        <v>540</v>
      </c>
      <c r="C264" s="5" t="s">
        <v>18</v>
      </c>
      <c r="D264" s="5">
        <v>3</v>
      </c>
      <c r="E264" s="6" t="s">
        <v>266</v>
      </c>
      <c r="F264" s="10">
        <v>700</v>
      </c>
      <c r="G264" s="7">
        <v>7.8875287909114347</v>
      </c>
      <c r="H264" s="7">
        <v>9.3207886491214786</v>
      </c>
      <c r="I264" s="7">
        <v>10.290248351093267</v>
      </c>
      <c r="J264" s="7">
        <v>11.526433716624673</v>
      </c>
      <c r="K264" s="7">
        <v>12.474624645640702</v>
      </c>
      <c r="L264" s="7">
        <v>13.48876759945782</v>
      </c>
      <c r="M264" s="7">
        <v>5.8242880221176696</v>
      </c>
      <c r="N264" s="7">
        <v>9</v>
      </c>
      <c r="O264" s="7">
        <v>14.8</v>
      </c>
      <c r="P264" s="7">
        <f t="shared" si="4"/>
        <v>5.8000000000000007</v>
      </c>
      <c r="Q264" s="17">
        <v>70.812679774967052</v>
      </c>
      <c r="R264" s="14">
        <v>106</v>
      </c>
      <c r="S264" s="7">
        <v>35.187320225032948</v>
      </c>
      <c r="T264" s="8" t="s">
        <v>909</v>
      </c>
    </row>
    <row r="265" spans="1:20">
      <c r="A265" s="5" t="s">
        <v>541</v>
      </c>
      <c r="B265" s="5" t="s">
        <v>542</v>
      </c>
      <c r="C265" s="5" t="s">
        <v>129</v>
      </c>
      <c r="D265" s="5">
        <v>2</v>
      </c>
      <c r="E265" s="6" t="s">
        <v>266</v>
      </c>
      <c r="F265" s="10">
        <v>700</v>
      </c>
      <c r="G265" s="7">
        <v>7.7328713636386626</v>
      </c>
      <c r="H265" s="7">
        <v>9.1380280873739999</v>
      </c>
      <c r="I265" s="7">
        <v>10.088478775581635</v>
      </c>
      <c r="J265" s="7">
        <v>11.300425212377132</v>
      </c>
      <c r="K265" s="7">
        <v>12.230024162392848</v>
      </c>
      <c r="L265" s="7">
        <v>13.224281960252767</v>
      </c>
      <c r="M265" s="7">
        <v>5.7100862961937953</v>
      </c>
      <c r="N265" s="7">
        <v>11.6</v>
      </c>
      <c r="O265" s="7">
        <v>15.4</v>
      </c>
      <c r="P265" s="7">
        <f t="shared" si="4"/>
        <v>3.8000000000000007</v>
      </c>
      <c r="Q265" s="17">
        <v>69.424195857810844</v>
      </c>
      <c r="R265" s="14">
        <v>102</v>
      </c>
      <c r="S265" s="7">
        <v>32.575804142189156</v>
      </c>
      <c r="T265" s="8" t="s">
        <v>909</v>
      </c>
    </row>
    <row r="266" spans="1:20">
      <c r="A266" s="5" t="s">
        <v>543</v>
      </c>
      <c r="B266" s="5" t="s">
        <v>544</v>
      </c>
      <c r="C266" s="5" t="s">
        <v>18</v>
      </c>
      <c r="D266" s="5">
        <v>0</v>
      </c>
      <c r="E266" s="6" t="s">
        <v>266</v>
      </c>
      <c r="F266" s="10">
        <v>700</v>
      </c>
      <c r="G266" s="7">
        <v>7.7328713636386626</v>
      </c>
      <c r="H266" s="7">
        <v>9.1380280873739999</v>
      </c>
      <c r="I266" s="7">
        <v>10.088478775581635</v>
      </c>
      <c r="J266" s="7">
        <v>11.300425212377132</v>
      </c>
      <c r="K266" s="7">
        <v>12.230024162392848</v>
      </c>
      <c r="L266" s="7">
        <v>13.224281960252767</v>
      </c>
      <c r="M266" s="7">
        <v>5.7100862961937953</v>
      </c>
      <c r="N266" s="7">
        <v>6.3</v>
      </c>
      <c r="O266" s="7">
        <v>12.6</v>
      </c>
      <c r="P266" s="7">
        <f t="shared" si="4"/>
        <v>6.3</v>
      </c>
      <c r="Q266" s="17">
        <v>69.424195857810844</v>
      </c>
      <c r="R266" s="14">
        <v>92</v>
      </c>
      <c r="S266" s="7">
        <v>22.575804142189156</v>
      </c>
      <c r="T266" s="8" t="s">
        <v>909</v>
      </c>
    </row>
    <row r="267" spans="1:20">
      <c r="A267" s="5" t="s">
        <v>545</v>
      </c>
      <c r="B267" s="5" t="s">
        <v>546</v>
      </c>
      <c r="C267" s="5" t="s">
        <v>18</v>
      </c>
      <c r="D267" s="5">
        <v>1</v>
      </c>
      <c r="E267" s="6" t="s">
        <v>266</v>
      </c>
      <c r="F267" s="10">
        <v>700</v>
      </c>
      <c r="G267" s="7">
        <v>7.7328713636386626</v>
      </c>
      <c r="H267" s="7">
        <v>9.1380280873739999</v>
      </c>
      <c r="I267" s="7">
        <v>10.088478775581635</v>
      </c>
      <c r="J267" s="7">
        <v>11.300425212377132</v>
      </c>
      <c r="K267" s="7">
        <v>12.230024162392848</v>
      </c>
      <c r="L267" s="7">
        <v>13.224281960252767</v>
      </c>
      <c r="M267" s="7">
        <v>5.7100862961937953</v>
      </c>
      <c r="N267" s="7">
        <v>9.6</v>
      </c>
      <c r="O267" s="7">
        <v>10.8</v>
      </c>
      <c r="P267" s="7">
        <f t="shared" si="4"/>
        <v>1.2000000000000011</v>
      </c>
      <c r="Q267" s="17">
        <v>69.424195857810844</v>
      </c>
      <c r="R267" s="14">
        <v>75</v>
      </c>
      <c r="S267" s="7">
        <v>5.5758041421891562</v>
      </c>
      <c r="T267" s="8" t="s">
        <v>909</v>
      </c>
    </row>
    <row r="268" spans="1:20">
      <c r="A268" s="5" t="s">
        <v>547</v>
      </c>
      <c r="B268" s="5" t="s">
        <v>548</v>
      </c>
      <c r="C268" s="5" t="s">
        <v>18</v>
      </c>
      <c r="D268" s="5">
        <v>3</v>
      </c>
      <c r="E268" s="6" t="s">
        <v>266</v>
      </c>
      <c r="F268" s="10">
        <v>700</v>
      </c>
      <c r="G268" s="7">
        <v>7.7328713636386626</v>
      </c>
      <c r="H268" s="7">
        <v>9.1380280873739999</v>
      </c>
      <c r="I268" s="7">
        <v>10.088478775581635</v>
      </c>
      <c r="J268" s="7">
        <v>11.300425212377132</v>
      </c>
      <c r="K268" s="7">
        <v>12.230024162392848</v>
      </c>
      <c r="L268" s="7">
        <v>13.224281960252767</v>
      </c>
      <c r="M268" s="7">
        <v>5.7100862961937953</v>
      </c>
      <c r="N268" s="7">
        <v>6.8</v>
      </c>
      <c r="O268" s="7">
        <v>4.2</v>
      </c>
      <c r="P268" s="7">
        <f t="shared" si="4"/>
        <v>-2.5999999999999996</v>
      </c>
      <c r="Q268" s="17">
        <v>69.424195857810844</v>
      </c>
      <c r="R268" s="14">
        <v>30</v>
      </c>
      <c r="S268" s="7">
        <v>-39.424195857810844</v>
      </c>
      <c r="T268" s="8" t="s">
        <v>910</v>
      </c>
    </row>
    <row r="269" spans="1:20">
      <c r="A269" s="5" t="s">
        <v>549</v>
      </c>
      <c r="B269" s="5" t="s">
        <v>550</v>
      </c>
      <c r="C269" s="5" t="s">
        <v>18</v>
      </c>
      <c r="D269" s="5">
        <v>4</v>
      </c>
      <c r="E269" s="6" t="s">
        <v>266</v>
      </c>
      <c r="F269" s="10">
        <v>700</v>
      </c>
      <c r="G269" s="7">
        <v>7.7328713636386626</v>
      </c>
      <c r="H269" s="7">
        <v>9.1380280873739999</v>
      </c>
      <c r="I269" s="7">
        <v>10.088478775581635</v>
      </c>
      <c r="J269" s="7">
        <v>11.300425212377132</v>
      </c>
      <c r="K269" s="7">
        <v>12.230024162392848</v>
      </c>
      <c r="L269" s="7">
        <v>13.224281960252767</v>
      </c>
      <c r="M269" s="7">
        <v>5.7100862961937953</v>
      </c>
      <c r="N269" s="7">
        <v>10.9</v>
      </c>
      <c r="O269" s="7">
        <v>10.199999999999999</v>
      </c>
      <c r="P269" s="7">
        <f t="shared" si="4"/>
        <v>-0.70000000000000107</v>
      </c>
      <c r="Q269" s="17">
        <v>69.424195857810844</v>
      </c>
      <c r="R269" s="14">
        <v>73</v>
      </c>
      <c r="S269" s="7">
        <v>3.5758041421891562</v>
      </c>
      <c r="T269" s="8" t="s">
        <v>909</v>
      </c>
    </row>
    <row r="270" spans="1:20">
      <c r="A270" s="5" t="s">
        <v>551</v>
      </c>
      <c r="B270" s="5" t="s">
        <v>552</v>
      </c>
      <c r="C270" s="5" t="s">
        <v>18</v>
      </c>
      <c r="D270" s="5">
        <v>2</v>
      </c>
      <c r="E270" s="6" t="s">
        <v>266</v>
      </c>
      <c r="F270" s="10">
        <v>700</v>
      </c>
      <c r="G270" s="7">
        <v>7.5782139363658878</v>
      </c>
      <c r="H270" s="7">
        <v>8.9552675256265211</v>
      </c>
      <c r="I270" s="7">
        <v>9.8867092000700012</v>
      </c>
      <c r="J270" s="7">
        <v>11.07441670812959</v>
      </c>
      <c r="K270" s="7">
        <v>11.98542367914499</v>
      </c>
      <c r="L270" s="7">
        <v>12.95979632104771</v>
      </c>
      <c r="M270" s="7">
        <v>5.5958845702699191</v>
      </c>
      <c r="N270" s="7">
        <v>8.6</v>
      </c>
      <c r="O270" s="7">
        <v>7.2</v>
      </c>
      <c r="P270" s="7">
        <f t="shared" si="4"/>
        <v>-1.3999999999999995</v>
      </c>
      <c r="Q270" s="17">
        <v>68.035711940654622</v>
      </c>
      <c r="R270" s="14">
        <v>58</v>
      </c>
      <c r="S270" s="7">
        <v>-10.035711940654622</v>
      </c>
      <c r="T270" s="8" t="s">
        <v>910</v>
      </c>
    </row>
    <row r="271" spans="1:20">
      <c r="A271" s="5" t="s">
        <v>553</v>
      </c>
      <c r="B271" s="5" t="s">
        <v>554</v>
      </c>
      <c r="C271" s="5" t="s">
        <v>18</v>
      </c>
      <c r="D271" s="5">
        <v>3</v>
      </c>
      <c r="E271" s="6" t="s">
        <v>266</v>
      </c>
      <c r="F271" s="10">
        <v>700</v>
      </c>
      <c r="G271" s="7">
        <v>7.5782139363658878</v>
      </c>
      <c r="H271" s="7">
        <v>8.9552675256265211</v>
      </c>
      <c r="I271" s="7">
        <v>9.8867092000700012</v>
      </c>
      <c r="J271" s="7">
        <v>11.07441670812959</v>
      </c>
      <c r="K271" s="7">
        <v>11.98542367914499</v>
      </c>
      <c r="L271" s="7">
        <v>12.95979632104771</v>
      </c>
      <c r="M271" s="7">
        <v>5.5958845702699191</v>
      </c>
      <c r="N271" s="7">
        <v>7.1</v>
      </c>
      <c r="O271" s="7">
        <v>6.8</v>
      </c>
      <c r="P271" s="7">
        <f t="shared" si="4"/>
        <v>-0.29999999999999982</v>
      </c>
      <c r="Q271" s="17">
        <v>68.035711940654622</v>
      </c>
      <c r="R271" s="14">
        <v>49</v>
      </c>
      <c r="S271" s="7">
        <v>-19.035711940654622</v>
      </c>
      <c r="T271" s="8" t="s">
        <v>910</v>
      </c>
    </row>
    <row r="272" spans="1:20">
      <c r="A272" s="5" t="s">
        <v>555</v>
      </c>
      <c r="B272" s="5" t="s">
        <v>556</v>
      </c>
      <c r="C272" s="5" t="s">
        <v>18</v>
      </c>
      <c r="D272" s="5">
        <v>4</v>
      </c>
      <c r="E272" s="6" t="s">
        <v>266</v>
      </c>
      <c r="F272" s="10">
        <v>700</v>
      </c>
      <c r="G272" s="7">
        <v>7.5782139363658878</v>
      </c>
      <c r="H272" s="7">
        <v>8.9552675256265211</v>
      </c>
      <c r="I272" s="7">
        <v>9.8867092000700012</v>
      </c>
      <c r="J272" s="7">
        <v>11.07441670812959</v>
      </c>
      <c r="K272" s="7">
        <v>11.98542367914499</v>
      </c>
      <c r="L272" s="7">
        <v>12.95979632104771</v>
      </c>
      <c r="M272" s="7">
        <v>5.5958845702699191</v>
      </c>
      <c r="N272" s="7">
        <v>11.4</v>
      </c>
      <c r="O272" s="7">
        <v>6.2</v>
      </c>
      <c r="P272" s="7">
        <f t="shared" si="4"/>
        <v>-5.2</v>
      </c>
      <c r="Q272" s="17">
        <v>68.035711940654622</v>
      </c>
      <c r="R272" s="14">
        <v>35</v>
      </c>
      <c r="S272" s="7">
        <v>-33.035711940654622</v>
      </c>
      <c r="T272" s="8" t="s">
        <v>910</v>
      </c>
    </row>
    <row r="273" spans="1:20">
      <c r="A273" s="5" t="s">
        <v>557</v>
      </c>
      <c r="B273" s="5" t="s">
        <v>558</v>
      </c>
      <c r="C273" s="5" t="s">
        <v>67</v>
      </c>
      <c r="D273" s="5">
        <v>2</v>
      </c>
      <c r="E273" s="6" t="s">
        <v>266</v>
      </c>
      <c r="F273" s="10">
        <v>700</v>
      </c>
      <c r="G273" s="7">
        <v>7.5782139363658878</v>
      </c>
      <c r="H273" s="7">
        <v>8.9552675256265211</v>
      </c>
      <c r="I273" s="7">
        <v>9.8867092000700012</v>
      </c>
      <c r="J273" s="7">
        <v>11.07441670812959</v>
      </c>
      <c r="K273" s="7">
        <v>11.98542367914499</v>
      </c>
      <c r="L273" s="7">
        <v>12.95979632104771</v>
      </c>
      <c r="M273" s="7">
        <v>5.5958845702699191</v>
      </c>
      <c r="N273" s="7">
        <v>11.8</v>
      </c>
      <c r="O273" s="7">
        <v>11.2</v>
      </c>
      <c r="P273" s="7">
        <f t="shared" si="4"/>
        <v>-0.60000000000000142</v>
      </c>
      <c r="Q273" s="17">
        <v>68.035711940654622</v>
      </c>
      <c r="R273" s="14">
        <v>82</v>
      </c>
      <c r="S273" s="7">
        <v>13.964288059345378</v>
      </c>
      <c r="T273" s="8" t="s">
        <v>909</v>
      </c>
    </row>
    <row r="274" spans="1:20">
      <c r="A274" s="5" t="s">
        <v>559</v>
      </c>
      <c r="B274" s="5" t="s">
        <v>560</v>
      </c>
      <c r="C274" s="5" t="s">
        <v>18</v>
      </c>
      <c r="D274" s="5">
        <v>2</v>
      </c>
      <c r="E274" s="6" t="s">
        <v>266</v>
      </c>
      <c r="F274" s="10">
        <v>700</v>
      </c>
      <c r="G274" s="7">
        <v>7.5782139363658878</v>
      </c>
      <c r="H274" s="7">
        <v>8.9552675256265211</v>
      </c>
      <c r="I274" s="7">
        <v>9.8867092000700012</v>
      </c>
      <c r="J274" s="7">
        <v>11.07441670812959</v>
      </c>
      <c r="K274" s="7">
        <v>11.98542367914499</v>
      </c>
      <c r="L274" s="7">
        <v>12.95979632104771</v>
      </c>
      <c r="M274" s="7">
        <v>5.5958845702699191</v>
      </c>
      <c r="N274" s="7">
        <v>11.4</v>
      </c>
      <c r="O274" s="7">
        <v>12.6</v>
      </c>
      <c r="P274" s="7">
        <f t="shared" si="4"/>
        <v>1.1999999999999993</v>
      </c>
      <c r="Q274" s="17">
        <v>68.035711940654622</v>
      </c>
      <c r="R274" s="14">
        <v>89</v>
      </c>
      <c r="S274" s="7">
        <v>20.964288059345378</v>
      </c>
      <c r="T274" s="8" t="s">
        <v>909</v>
      </c>
    </row>
    <row r="275" spans="1:20">
      <c r="A275" s="5" t="s">
        <v>561</v>
      </c>
      <c r="B275" s="5" t="s">
        <v>562</v>
      </c>
      <c r="C275" s="5" t="s">
        <v>18</v>
      </c>
      <c r="D275" s="5">
        <v>3</v>
      </c>
      <c r="E275" s="6" t="s">
        <v>266</v>
      </c>
      <c r="F275" s="10">
        <v>700</v>
      </c>
      <c r="G275" s="7">
        <v>7.5782139363658878</v>
      </c>
      <c r="H275" s="7">
        <v>8.9552675256265211</v>
      </c>
      <c r="I275" s="7">
        <v>9.8867092000700012</v>
      </c>
      <c r="J275" s="7">
        <v>11.07441670812959</v>
      </c>
      <c r="K275" s="7">
        <v>11.98542367914499</v>
      </c>
      <c r="L275" s="7">
        <v>12.95979632104771</v>
      </c>
      <c r="M275" s="7">
        <v>5.5958845702699191</v>
      </c>
      <c r="N275" s="7">
        <v>9.1</v>
      </c>
      <c r="O275" s="7">
        <v>9.1999999999999993</v>
      </c>
      <c r="P275" s="7">
        <f t="shared" si="4"/>
        <v>9.9999999999999645E-2</v>
      </c>
      <c r="Q275" s="17">
        <v>68.035711940654622</v>
      </c>
      <c r="R275" s="14">
        <v>66</v>
      </c>
      <c r="S275" s="7">
        <v>-2.0357119406546218</v>
      </c>
      <c r="T275" s="8" t="s">
        <v>910</v>
      </c>
    </row>
    <row r="276" spans="1:20">
      <c r="A276" s="5" t="s">
        <v>563</v>
      </c>
      <c r="B276" s="5" t="s">
        <v>564</v>
      </c>
      <c r="C276" s="5" t="s">
        <v>18</v>
      </c>
      <c r="D276" s="5">
        <v>2</v>
      </c>
      <c r="E276" s="6" t="s">
        <v>266</v>
      </c>
      <c r="F276" s="10">
        <v>700</v>
      </c>
      <c r="G276" s="7">
        <v>7.5782139363658878</v>
      </c>
      <c r="H276" s="7">
        <v>8.9552675256265211</v>
      </c>
      <c r="I276" s="7">
        <v>9.8867092000700012</v>
      </c>
      <c r="J276" s="7">
        <v>11.07441670812959</v>
      </c>
      <c r="K276" s="7">
        <v>11.98542367914499</v>
      </c>
      <c r="L276" s="7">
        <v>12.95979632104771</v>
      </c>
      <c r="M276" s="7">
        <v>5.5958845702699191</v>
      </c>
      <c r="N276" s="7">
        <v>9.1999999999999993</v>
      </c>
      <c r="O276" s="7">
        <v>7</v>
      </c>
      <c r="P276" s="7">
        <f t="shared" si="4"/>
        <v>-2.1999999999999993</v>
      </c>
      <c r="Q276" s="17">
        <v>68.035711940654622</v>
      </c>
      <c r="R276" s="14">
        <v>53</v>
      </c>
      <c r="S276" s="7">
        <v>-15.035711940654622</v>
      </c>
      <c r="T276" s="8" t="s">
        <v>910</v>
      </c>
    </row>
    <row r="277" spans="1:20">
      <c r="A277" s="5" t="s">
        <v>565</v>
      </c>
      <c r="B277" s="5" t="s">
        <v>566</v>
      </c>
      <c r="C277" s="5" t="s">
        <v>18</v>
      </c>
      <c r="D277" s="5">
        <v>2</v>
      </c>
      <c r="E277" s="6" t="s">
        <v>266</v>
      </c>
      <c r="F277" s="10">
        <v>700</v>
      </c>
      <c r="G277" s="7">
        <v>7.5782139363658878</v>
      </c>
      <c r="H277" s="7">
        <v>8.9552675256265211</v>
      </c>
      <c r="I277" s="7">
        <v>9.8867092000700012</v>
      </c>
      <c r="J277" s="7">
        <v>11.07441670812959</v>
      </c>
      <c r="K277" s="7">
        <v>11.98542367914499</v>
      </c>
      <c r="L277" s="7">
        <v>12.95979632104771</v>
      </c>
      <c r="M277" s="7">
        <v>5.5958845702699191</v>
      </c>
      <c r="N277" s="7">
        <v>8.1999999999999993</v>
      </c>
      <c r="O277" s="7">
        <v>7.4</v>
      </c>
      <c r="P277" s="7">
        <f t="shared" si="4"/>
        <v>-0.79999999999999893</v>
      </c>
      <c r="Q277" s="17">
        <v>68.035711940654622</v>
      </c>
      <c r="R277" s="14">
        <v>57</v>
      </c>
      <c r="S277" s="7">
        <v>-11.035711940654622</v>
      </c>
      <c r="T277" s="8" t="s">
        <v>910</v>
      </c>
    </row>
    <row r="278" spans="1:20">
      <c r="A278" s="5" t="s">
        <v>567</v>
      </c>
      <c r="B278" s="5" t="s">
        <v>568</v>
      </c>
      <c r="C278" s="5" t="s">
        <v>18</v>
      </c>
      <c r="D278" s="5">
        <v>1</v>
      </c>
      <c r="E278" s="6" t="s">
        <v>266</v>
      </c>
      <c r="F278" s="10">
        <v>700</v>
      </c>
      <c r="G278" s="7">
        <v>7.5782139363658878</v>
      </c>
      <c r="H278" s="7">
        <v>8.9552675256265211</v>
      </c>
      <c r="I278" s="7">
        <v>9.8867092000700012</v>
      </c>
      <c r="J278" s="7">
        <v>11.07441670812959</v>
      </c>
      <c r="K278" s="7">
        <v>11.98542367914499</v>
      </c>
      <c r="L278" s="7">
        <v>12.95979632104771</v>
      </c>
      <c r="M278" s="7">
        <v>5.5958845702699191</v>
      </c>
      <c r="N278" s="7">
        <v>11.7</v>
      </c>
      <c r="O278" s="7">
        <v>15.2</v>
      </c>
      <c r="P278" s="7">
        <f t="shared" si="4"/>
        <v>3.5</v>
      </c>
      <c r="Q278" s="17">
        <v>68.035711940654622</v>
      </c>
      <c r="R278" s="14">
        <v>102</v>
      </c>
      <c r="S278" s="7">
        <v>33.964288059345378</v>
      </c>
      <c r="T278" s="8" t="s">
        <v>909</v>
      </c>
    </row>
    <row r="279" spans="1:20">
      <c r="A279" s="5" t="s">
        <v>569</v>
      </c>
      <c r="B279" s="5" t="s">
        <v>570</v>
      </c>
      <c r="C279" s="5" t="s">
        <v>18</v>
      </c>
      <c r="D279" s="5">
        <v>3</v>
      </c>
      <c r="E279" s="6" t="s">
        <v>266</v>
      </c>
      <c r="F279" s="10">
        <v>700</v>
      </c>
      <c r="G279" s="7">
        <v>7.4235565090931148</v>
      </c>
      <c r="H279" s="7">
        <v>8.7725069638790387</v>
      </c>
      <c r="I279" s="7">
        <v>9.6849396245583659</v>
      </c>
      <c r="J279" s="7">
        <v>10.848408203882045</v>
      </c>
      <c r="K279" s="7">
        <v>11.74082319589713</v>
      </c>
      <c r="L279" s="7">
        <v>12.695310681842653</v>
      </c>
      <c r="M279" s="7">
        <v>5.4816828443460413</v>
      </c>
      <c r="N279" s="7">
        <v>8.1999999999999993</v>
      </c>
      <c r="O279" s="7">
        <v>8.8000000000000007</v>
      </c>
      <c r="P279" s="7">
        <f t="shared" si="4"/>
        <v>0.60000000000000142</v>
      </c>
      <c r="Q279" s="17">
        <v>66.647228023498386</v>
      </c>
      <c r="R279" s="14">
        <v>47</v>
      </c>
      <c r="S279" s="7">
        <v>-19.647228023498386</v>
      </c>
      <c r="T279" s="8" t="s">
        <v>910</v>
      </c>
    </row>
    <row r="280" spans="1:20">
      <c r="A280" s="5" t="s">
        <v>571</v>
      </c>
      <c r="B280" s="5" t="s">
        <v>572</v>
      </c>
      <c r="C280" s="5" t="s">
        <v>18</v>
      </c>
      <c r="D280" s="5">
        <v>4</v>
      </c>
      <c r="E280" s="6" t="s">
        <v>266</v>
      </c>
      <c r="F280" s="10">
        <v>700</v>
      </c>
      <c r="G280" s="7">
        <v>7.4235565090931148</v>
      </c>
      <c r="H280" s="7">
        <v>8.7725069638790387</v>
      </c>
      <c r="I280" s="7">
        <v>9.6849396245583659</v>
      </c>
      <c r="J280" s="7">
        <v>10.848408203882045</v>
      </c>
      <c r="K280" s="7">
        <v>11.74082319589713</v>
      </c>
      <c r="L280" s="7">
        <v>12.695310681842653</v>
      </c>
      <c r="M280" s="7">
        <v>5.4816828443460413</v>
      </c>
      <c r="N280" s="7">
        <v>10.1</v>
      </c>
      <c r="O280" s="7">
        <v>8.4</v>
      </c>
      <c r="P280" s="7">
        <f t="shared" si="4"/>
        <v>-1.6999999999999993</v>
      </c>
      <c r="Q280" s="17">
        <v>66.647228023498386</v>
      </c>
      <c r="R280" s="14">
        <v>59</v>
      </c>
      <c r="S280" s="7">
        <v>-7.6472280234983856</v>
      </c>
      <c r="T280" s="8" t="s">
        <v>910</v>
      </c>
    </row>
    <row r="281" spans="1:20">
      <c r="A281" s="5" t="s">
        <v>573</v>
      </c>
      <c r="B281" s="5" t="s">
        <v>574</v>
      </c>
      <c r="C281" s="5" t="s">
        <v>18</v>
      </c>
      <c r="D281" s="5">
        <v>3</v>
      </c>
      <c r="E281" s="6" t="s">
        <v>266</v>
      </c>
      <c r="F281" s="10">
        <v>700</v>
      </c>
      <c r="G281" s="7">
        <v>7.4235565090931148</v>
      </c>
      <c r="H281" s="7">
        <v>8.7725069638790387</v>
      </c>
      <c r="I281" s="7">
        <v>9.6849396245583659</v>
      </c>
      <c r="J281" s="7">
        <v>10.848408203882045</v>
      </c>
      <c r="K281" s="7">
        <v>11.74082319589713</v>
      </c>
      <c r="L281" s="7">
        <v>12.695310681842653</v>
      </c>
      <c r="M281" s="7">
        <v>5.4816828443460413</v>
      </c>
      <c r="N281" s="7">
        <v>8.3000000000000007</v>
      </c>
      <c r="O281" s="7">
        <v>10.8</v>
      </c>
      <c r="P281" s="7">
        <f t="shared" si="4"/>
        <v>2.5</v>
      </c>
      <c r="Q281" s="17">
        <v>66.647228023498386</v>
      </c>
      <c r="R281" s="14">
        <v>82</v>
      </c>
      <c r="S281" s="7">
        <v>15.352771976501614</v>
      </c>
      <c r="T281" s="8" t="s">
        <v>909</v>
      </c>
    </row>
    <row r="282" spans="1:20">
      <c r="A282" s="5" t="s">
        <v>575</v>
      </c>
      <c r="B282" s="5" t="s">
        <v>576</v>
      </c>
      <c r="C282" s="5" t="s">
        <v>18</v>
      </c>
      <c r="D282" s="5">
        <v>3</v>
      </c>
      <c r="E282" s="6" t="s">
        <v>266</v>
      </c>
      <c r="F282" s="10">
        <v>700</v>
      </c>
      <c r="G282" s="7">
        <v>7.4235565090931148</v>
      </c>
      <c r="H282" s="7">
        <v>8.7725069638790387</v>
      </c>
      <c r="I282" s="7">
        <v>9.6849396245583659</v>
      </c>
      <c r="J282" s="7">
        <v>10.848408203882045</v>
      </c>
      <c r="K282" s="7">
        <v>11.74082319589713</v>
      </c>
      <c r="L282" s="7">
        <v>12.695310681842653</v>
      </c>
      <c r="M282" s="7">
        <v>5.4816828443460413</v>
      </c>
      <c r="N282" s="7">
        <v>8.8000000000000007</v>
      </c>
      <c r="O282" s="7">
        <v>10.4</v>
      </c>
      <c r="P282" s="7">
        <f t="shared" si="4"/>
        <v>1.5999999999999996</v>
      </c>
      <c r="Q282" s="17">
        <v>66.647228023498386</v>
      </c>
      <c r="R282" s="14">
        <v>78</v>
      </c>
      <c r="S282" s="7">
        <v>11.352771976501614</v>
      </c>
      <c r="T282" s="8" t="s">
        <v>909</v>
      </c>
    </row>
    <row r="283" spans="1:20">
      <c r="A283" s="5" t="s">
        <v>577</v>
      </c>
      <c r="B283" s="5" t="s">
        <v>578</v>
      </c>
      <c r="C283" s="5" t="s">
        <v>67</v>
      </c>
      <c r="D283" s="5">
        <v>1</v>
      </c>
      <c r="E283" s="6" t="s">
        <v>266</v>
      </c>
      <c r="F283" s="10">
        <v>700</v>
      </c>
      <c r="G283" s="7">
        <v>7.4235565090931148</v>
      </c>
      <c r="H283" s="7">
        <v>8.7725069638790387</v>
      </c>
      <c r="I283" s="7">
        <v>9.6849396245583659</v>
      </c>
      <c r="J283" s="7">
        <v>10.848408203882045</v>
      </c>
      <c r="K283" s="7">
        <v>11.74082319589713</v>
      </c>
      <c r="L283" s="7">
        <v>12.695310681842653</v>
      </c>
      <c r="M283" s="7">
        <v>5.4816828443460413</v>
      </c>
      <c r="N283" s="7">
        <v>12.1</v>
      </c>
      <c r="O283" s="7">
        <v>16.2</v>
      </c>
      <c r="P283" s="7">
        <f t="shared" si="4"/>
        <v>4.0999999999999996</v>
      </c>
      <c r="Q283" s="17">
        <v>66.647228023498386</v>
      </c>
      <c r="R283" s="14">
        <v>119</v>
      </c>
      <c r="S283" s="7">
        <v>52.352771976501614</v>
      </c>
      <c r="T283" s="8" t="s">
        <v>909</v>
      </c>
    </row>
    <row r="284" spans="1:20">
      <c r="A284" s="5" t="s">
        <v>579</v>
      </c>
      <c r="B284" s="5" t="s">
        <v>580</v>
      </c>
      <c r="C284" s="5" t="s">
        <v>67</v>
      </c>
      <c r="D284" s="5">
        <v>1</v>
      </c>
      <c r="E284" s="6" t="s">
        <v>266</v>
      </c>
      <c r="F284" s="10">
        <v>700</v>
      </c>
      <c r="G284" s="7">
        <v>7.4235565090931148</v>
      </c>
      <c r="H284" s="7">
        <v>8.7725069638790387</v>
      </c>
      <c r="I284" s="7">
        <v>9.6849396245583659</v>
      </c>
      <c r="J284" s="7">
        <v>10.848408203882045</v>
      </c>
      <c r="K284" s="7">
        <v>11.74082319589713</v>
      </c>
      <c r="L284" s="7">
        <v>12.695310681842653</v>
      </c>
      <c r="M284" s="7">
        <v>5.4816828443460413</v>
      </c>
      <c r="N284" s="7">
        <v>7.1</v>
      </c>
      <c r="O284" s="7">
        <v>8.4</v>
      </c>
      <c r="P284" s="7">
        <f t="shared" si="4"/>
        <v>1.3000000000000007</v>
      </c>
      <c r="Q284" s="17">
        <v>66.647228023498386</v>
      </c>
      <c r="R284" s="14">
        <v>71</v>
      </c>
      <c r="S284" s="7">
        <v>4.3527719765016144</v>
      </c>
      <c r="T284" s="8" t="s">
        <v>909</v>
      </c>
    </row>
    <row r="285" spans="1:20">
      <c r="A285" s="5" t="s">
        <v>581</v>
      </c>
      <c r="B285" s="5" t="s">
        <v>582</v>
      </c>
      <c r="C285" s="5" t="s">
        <v>18</v>
      </c>
      <c r="D285" s="5">
        <v>3</v>
      </c>
      <c r="E285" s="6" t="s">
        <v>266</v>
      </c>
      <c r="F285" s="10">
        <v>700</v>
      </c>
      <c r="G285" s="7">
        <v>7.4235565090931148</v>
      </c>
      <c r="H285" s="7">
        <v>8.7725069638790387</v>
      </c>
      <c r="I285" s="7">
        <v>9.6849396245583659</v>
      </c>
      <c r="J285" s="7">
        <v>10.848408203882045</v>
      </c>
      <c r="K285" s="7">
        <v>11.74082319589713</v>
      </c>
      <c r="L285" s="7">
        <v>12.695310681842653</v>
      </c>
      <c r="M285" s="7">
        <v>5.4816828443460413</v>
      </c>
      <c r="N285" s="7">
        <v>9.6999999999999993</v>
      </c>
      <c r="O285" s="7">
        <v>7</v>
      </c>
      <c r="P285" s="7">
        <f t="shared" si="4"/>
        <v>-2.6999999999999993</v>
      </c>
      <c r="Q285" s="17">
        <v>66.647228023498386</v>
      </c>
      <c r="R285" s="14">
        <v>47</v>
      </c>
      <c r="S285" s="7">
        <v>-19.647228023498386</v>
      </c>
      <c r="T285" s="8" t="s">
        <v>910</v>
      </c>
    </row>
    <row r="286" spans="1:20">
      <c r="A286" s="5" t="s">
        <v>583</v>
      </c>
      <c r="B286" s="5" t="s">
        <v>584</v>
      </c>
      <c r="C286" s="5" t="s">
        <v>18</v>
      </c>
      <c r="D286" s="5">
        <v>1</v>
      </c>
      <c r="E286" s="6" t="s">
        <v>266</v>
      </c>
      <c r="F286" s="10">
        <v>700</v>
      </c>
      <c r="G286" s="7">
        <v>7.4235565090931148</v>
      </c>
      <c r="H286" s="7">
        <v>8.7725069638790387</v>
      </c>
      <c r="I286" s="7">
        <v>9.6849396245583659</v>
      </c>
      <c r="J286" s="7">
        <v>10.848408203882045</v>
      </c>
      <c r="K286" s="7">
        <v>11.74082319589713</v>
      </c>
      <c r="L286" s="7">
        <v>12.695310681842653</v>
      </c>
      <c r="M286" s="7">
        <v>5.4816828443460413</v>
      </c>
      <c r="N286" s="7">
        <v>8.3000000000000007</v>
      </c>
      <c r="O286" s="7">
        <v>12.8</v>
      </c>
      <c r="P286" s="7">
        <f t="shared" si="4"/>
        <v>4.5</v>
      </c>
      <c r="Q286" s="17">
        <v>66.647228023498386</v>
      </c>
      <c r="R286" s="14">
        <v>84</v>
      </c>
      <c r="S286" s="7">
        <v>17.352771976501614</v>
      </c>
      <c r="T286" s="8" t="s">
        <v>909</v>
      </c>
    </row>
    <row r="287" spans="1:20">
      <c r="A287" s="5" t="s">
        <v>585</v>
      </c>
      <c r="B287" s="5" t="s">
        <v>586</v>
      </c>
      <c r="C287" s="5" t="s">
        <v>18</v>
      </c>
      <c r="D287" s="5">
        <v>1</v>
      </c>
      <c r="E287" s="6" t="s">
        <v>266</v>
      </c>
      <c r="F287" s="10">
        <v>700</v>
      </c>
      <c r="G287" s="7">
        <v>7.2688990818203409</v>
      </c>
      <c r="H287" s="7">
        <v>8.5897464021315599</v>
      </c>
      <c r="I287" s="7">
        <v>9.4831700490467341</v>
      </c>
      <c r="J287" s="7">
        <v>10.622399699634501</v>
      </c>
      <c r="K287" s="7">
        <v>11.496222712649274</v>
      </c>
      <c r="L287" s="7">
        <v>12.430825042637597</v>
      </c>
      <c r="M287" s="7">
        <v>5.367481118422166</v>
      </c>
      <c r="N287" s="7">
        <v>5.3</v>
      </c>
      <c r="O287" s="7">
        <v>9</v>
      </c>
      <c r="P287" s="7">
        <f t="shared" si="4"/>
        <v>3.7</v>
      </c>
      <c r="Q287" s="17">
        <v>65.258744106342164</v>
      </c>
      <c r="R287" s="14">
        <v>59</v>
      </c>
      <c r="S287" s="7">
        <v>-6.2587441063421636</v>
      </c>
      <c r="T287" s="8" t="s">
        <v>910</v>
      </c>
    </row>
    <row r="288" spans="1:20">
      <c r="A288" s="5" t="s">
        <v>587</v>
      </c>
      <c r="B288" s="5" t="s">
        <v>588</v>
      </c>
      <c r="C288" s="5" t="s">
        <v>18</v>
      </c>
      <c r="D288" s="5">
        <v>3</v>
      </c>
      <c r="E288" s="6" t="s">
        <v>266</v>
      </c>
      <c r="F288" s="10">
        <v>700</v>
      </c>
      <c r="G288" s="7">
        <v>7.2688990818203409</v>
      </c>
      <c r="H288" s="7">
        <v>8.5897464021315599</v>
      </c>
      <c r="I288" s="7">
        <v>9.4831700490467341</v>
      </c>
      <c r="J288" s="7">
        <v>10.622399699634501</v>
      </c>
      <c r="K288" s="7">
        <v>11.496222712649274</v>
      </c>
      <c r="L288" s="7">
        <v>12.430825042637597</v>
      </c>
      <c r="M288" s="7">
        <v>5.367481118422166</v>
      </c>
      <c r="N288" s="7">
        <v>8.3000000000000007</v>
      </c>
      <c r="O288" s="7">
        <v>9</v>
      </c>
      <c r="P288" s="7">
        <f t="shared" si="4"/>
        <v>0.69999999999999929</v>
      </c>
      <c r="Q288" s="17">
        <v>65.258744106342164</v>
      </c>
      <c r="R288" s="14">
        <v>70</v>
      </c>
      <c r="S288" s="7">
        <v>4.7412558936578364</v>
      </c>
      <c r="T288" s="8" t="s">
        <v>909</v>
      </c>
    </row>
    <row r="289" spans="1:20">
      <c r="A289" s="5" t="s">
        <v>589</v>
      </c>
      <c r="B289" s="5" t="s">
        <v>590</v>
      </c>
      <c r="C289" s="5" t="s">
        <v>18</v>
      </c>
      <c r="D289" s="5">
        <v>4</v>
      </c>
      <c r="E289" s="6" t="s">
        <v>266</v>
      </c>
      <c r="F289" s="10">
        <v>700</v>
      </c>
      <c r="G289" s="7">
        <v>7.2688990818203409</v>
      </c>
      <c r="H289" s="7">
        <v>8.5897464021315599</v>
      </c>
      <c r="I289" s="7">
        <v>9.4831700490467341</v>
      </c>
      <c r="J289" s="7">
        <v>10.622399699634501</v>
      </c>
      <c r="K289" s="7">
        <v>11.496222712649274</v>
      </c>
      <c r="L289" s="7">
        <v>12.430825042637597</v>
      </c>
      <c r="M289" s="7">
        <v>5.367481118422166</v>
      </c>
      <c r="N289" s="7">
        <v>10.199999999999999</v>
      </c>
      <c r="O289" s="7">
        <v>7.6</v>
      </c>
      <c r="P289" s="7">
        <f t="shared" si="4"/>
        <v>-2.5999999999999996</v>
      </c>
      <c r="Q289" s="17">
        <v>65.258744106342164</v>
      </c>
      <c r="R289" s="14">
        <v>57</v>
      </c>
      <c r="S289" s="7">
        <v>-8.2587441063421636</v>
      </c>
      <c r="T289" s="8" t="s">
        <v>910</v>
      </c>
    </row>
    <row r="290" spans="1:20">
      <c r="A290" s="5" t="s">
        <v>591</v>
      </c>
      <c r="B290" s="5" t="s">
        <v>592</v>
      </c>
      <c r="C290" s="5" t="s">
        <v>18</v>
      </c>
      <c r="D290" s="5">
        <v>2</v>
      </c>
      <c r="E290" s="6" t="s">
        <v>266</v>
      </c>
      <c r="F290" s="10">
        <v>700</v>
      </c>
      <c r="G290" s="7">
        <v>7.2688990818203409</v>
      </c>
      <c r="H290" s="7">
        <v>8.5897464021315599</v>
      </c>
      <c r="I290" s="7">
        <v>9.4831700490467341</v>
      </c>
      <c r="J290" s="7">
        <v>10.622399699634501</v>
      </c>
      <c r="K290" s="7">
        <v>11.496222712649274</v>
      </c>
      <c r="L290" s="7">
        <v>12.430825042637597</v>
      </c>
      <c r="M290" s="7">
        <v>5.367481118422166</v>
      </c>
      <c r="N290" s="7">
        <v>8.9</v>
      </c>
      <c r="O290" s="7">
        <v>10.199999999999999</v>
      </c>
      <c r="P290" s="7">
        <f t="shared" si="4"/>
        <v>1.2999999999999989</v>
      </c>
      <c r="Q290" s="17">
        <v>65.258744106342164</v>
      </c>
      <c r="R290" s="14">
        <v>76</v>
      </c>
      <c r="S290" s="7">
        <v>10.741255893657836</v>
      </c>
      <c r="T290" s="8" t="s">
        <v>909</v>
      </c>
    </row>
    <row r="291" spans="1:20">
      <c r="A291" s="5" t="s">
        <v>593</v>
      </c>
      <c r="B291" s="5" t="s">
        <v>594</v>
      </c>
      <c r="C291" s="5" t="s">
        <v>18</v>
      </c>
      <c r="D291" s="5">
        <v>2</v>
      </c>
      <c r="E291" s="6" t="s">
        <v>266</v>
      </c>
      <c r="F291" s="10">
        <v>700</v>
      </c>
      <c r="G291" s="7">
        <v>7.2688990818203409</v>
      </c>
      <c r="H291" s="7">
        <v>8.5897464021315599</v>
      </c>
      <c r="I291" s="7">
        <v>9.4831700490467341</v>
      </c>
      <c r="J291" s="7">
        <v>10.622399699634501</v>
      </c>
      <c r="K291" s="7">
        <v>11.496222712649274</v>
      </c>
      <c r="L291" s="7">
        <v>12.430825042637597</v>
      </c>
      <c r="M291" s="7">
        <v>5.367481118422166</v>
      </c>
      <c r="N291" s="7">
        <v>8.8000000000000007</v>
      </c>
      <c r="O291" s="7">
        <v>9.4</v>
      </c>
      <c r="P291" s="7">
        <f t="shared" si="4"/>
        <v>0.59999999999999964</v>
      </c>
      <c r="Q291" s="17">
        <v>65.258744106342164</v>
      </c>
      <c r="R291" s="14">
        <v>107</v>
      </c>
      <c r="S291" s="7">
        <v>41.741255893657836</v>
      </c>
      <c r="T291" s="8" t="s">
        <v>909</v>
      </c>
    </row>
    <row r="292" spans="1:20">
      <c r="A292" s="5" t="s">
        <v>595</v>
      </c>
      <c r="B292" s="5" t="s">
        <v>596</v>
      </c>
      <c r="C292" s="5" t="s">
        <v>18</v>
      </c>
      <c r="D292" s="5">
        <v>4</v>
      </c>
      <c r="E292" s="6" t="s">
        <v>266</v>
      </c>
      <c r="F292" s="10">
        <v>700</v>
      </c>
      <c r="G292" s="7">
        <v>7.2688990818203409</v>
      </c>
      <c r="H292" s="7">
        <v>8.5897464021315599</v>
      </c>
      <c r="I292" s="7">
        <v>9.4831700490467341</v>
      </c>
      <c r="J292" s="7">
        <v>10.622399699634501</v>
      </c>
      <c r="K292" s="7">
        <v>11.496222712649274</v>
      </c>
      <c r="L292" s="7">
        <v>12.430825042637597</v>
      </c>
      <c r="M292" s="7">
        <v>5.367481118422166</v>
      </c>
      <c r="N292" s="7">
        <v>11.6</v>
      </c>
      <c r="O292" s="7">
        <v>4.2</v>
      </c>
      <c r="P292" s="7">
        <f t="shared" si="4"/>
        <v>-7.3999999999999995</v>
      </c>
      <c r="Q292" s="17">
        <v>65.258744106342164</v>
      </c>
      <c r="R292" s="14">
        <v>31</v>
      </c>
      <c r="S292" s="7">
        <v>-34.258744106342164</v>
      </c>
      <c r="T292" s="8" t="s">
        <v>910</v>
      </c>
    </row>
    <row r="293" spans="1:20">
      <c r="A293" s="5" t="s">
        <v>597</v>
      </c>
      <c r="B293" s="5" t="s">
        <v>598</v>
      </c>
      <c r="C293" s="5" t="s">
        <v>18</v>
      </c>
      <c r="D293" s="5">
        <v>3</v>
      </c>
      <c r="E293" s="6" t="s">
        <v>266</v>
      </c>
      <c r="F293" s="10">
        <v>700</v>
      </c>
      <c r="G293" s="7">
        <v>7.2688990818203409</v>
      </c>
      <c r="H293" s="7">
        <v>8.5897464021315599</v>
      </c>
      <c r="I293" s="7">
        <v>9.4831700490467341</v>
      </c>
      <c r="J293" s="7">
        <v>10.622399699634501</v>
      </c>
      <c r="K293" s="7">
        <v>11.496222712649274</v>
      </c>
      <c r="L293" s="7">
        <v>12.430825042637597</v>
      </c>
      <c r="M293" s="7">
        <v>5.367481118422166</v>
      </c>
      <c r="N293" s="7">
        <v>7.3</v>
      </c>
      <c r="O293" s="7">
        <v>8.6</v>
      </c>
      <c r="P293" s="7">
        <f t="shared" si="4"/>
        <v>1.2999999999999998</v>
      </c>
      <c r="Q293" s="17">
        <v>65.258744106342164</v>
      </c>
      <c r="R293" s="14">
        <v>68</v>
      </c>
      <c r="S293" s="7">
        <v>2.7412558936578364</v>
      </c>
      <c r="T293" s="8" t="s">
        <v>909</v>
      </c>
    </row>
    <row r="294" spans="1:20">
      <c r="A294" s="5" t="s">
        <v>599</v>
      </c>
      <c r="B294" s="5" t="s">
        <v>600</v>
      </c>
      <c r="C294" s="5" t="s">
        <v>18</v>
      </c>
      <c r="D294" s="5">
        <v>4</v>
      </c>
      <c r="E294" s="6" t="s">
        <v>266</v>
      </c>
      <c r="F294" s="10">
        <v>700</v>
      </c>
      <c r="G294" s="7">
        <v>7.2688990818203409</v>
      </c>
      <c r="H294" s="7">
        <v>8.5897464021315599</v>
      </c>
      <c r="I294" s="7">
        <v>9.4831700490467341</v>
      </c>
      <c r="J294" s="7">
        <v>10.622399699634501</v>
      </c>
      <c r="K294" s="7">
        <v>11.496222712649274</v>
      </c>
      <c r="L294" s="7">
        <v>12.430825042637597</v>
      </c>
      <c r="M294" s="7">
        <v>5.367481118422166</v>
      </c>
      <c r="N294" s="7">
        <v>8.3000000000000007</v>
      </c>
      <c r="O294" s="7">
        <v>5.4</v>
      </c>
      <c r="P294" s="7">
        <f t="shared" si="4"/>
        <v>-2.9000000000000004</v>
      </c>
      <c r="Q294" s="17">
        <v>65.258744106342164</v>
      </c>
      <c r="R294" s="14">
        <v>44</v>
      </c>
      <c r="S294" s="7">
        <v>-21.258744106342164</v>
      </c>
      <c r="T294" s="8" t="s">
        <v>910</v>
      </c>
    </row>
    <row r="295" spans="1:20">
      <c r="A295" s="5" t="s">
        <v>601</v>
      </c>
      <c r="B295" s="5" t="s">
        <v>602</v>
      </c>
      <c r="C295" s="5" t="s">
        <v>67</v>
      </c>
      <c r="D295" s="5">
        <v>1</v>
      </c>
      <c r="E295" s="6" t="s">
        <v>266</v>
      </c>
      <c r="F295" s="10">
        <v>700</v>
      </c>
      <c r="G295" s="7">
        <v>7.2688990818203409</v>
      </c>
      <c r="H295" s="7">
        <v>8.5897464021315599</v>
      </c>
      <c r="I295" s="7">
        <v>9.4831700490467341</v>
      </c>
      <c r="J295" s="7">
        <v>10.622399699634501</v>
      </c>
      <c r="K295" s="7">
        <v>11.496222712649274</v>
      </c>
      <c r="L295" s="7">
        <v>12.430825042637597</v>
      </c>
      <c r="M295" s="7">
        <v>5.367481118422166</v>
      </c>
      <c r="N295" s="7">
        <v>9.6</v>
      </c>
      <c r="O295" s="7">
        <v>12.8</v>
      </c>
      <c r="P295" s="7">
        <f t="shared" si="4"/>
        <v>3.2000000000000011</v>
      </c>
      <c r="Q295" s="17">
        <v>65.258744106342164</v>
      </c>
      <c r="R295" s="14">
        <v>90</v>
      </c>
      <c r="S295" s="7">
        <v>24.741255893657836</v>
      </c>
      <c r="T295" s="8" t="s">
        <v>909</v>
      </c>
    </row>
    <row r="296" spans="1:20">
      <c r="A296" s="5" t="s">
        <v>603</v>
      </c>
      <c r="B296" s="5" t="s">
        <v>604</v>
      </c>
      <c r="C296" s="5" t="s">
        <v>18</v>
      </c>
      <c r="D296" s="5">
        <v>2</v>
      </c>
      <c r="E296" s="6" t="s">
        <v>266</v>
      </c>
      <c r="F296" s="10">
        <v>700</v>
      </c>
      <c r="G296" s="7">
        <v>7.2688990818203409</v>
      </c>
      <c r="H296" s="7">
        <v>8.5897464021315599</v>
      </c>
      <c r="I296" s="7">
        <v>9.4831700490467341</v>
      </c>
      <c r="J296" s="7">
        <v>10.622399699634501</v>
      </c>
      <c r="K296" s="7">
        <v>11.496222712649274</v>
      </c>
      <c r="L296" s="7">
        <v>12.430825042637597</v>
      </c>
      <c r="M296" s="7">
        <v>5.367481118422166</v>
      </c>
      <c r="N296" s="7">
        <v>9.8000000000000007</v>
      </c>
      <c r="O296" s="7">
        <v>9.4</v>
      </c>
      <c r="P296" s="7">
        <f t="shared" si="4"/>
        <v>-0.40000000000000036</v>
      </c>
      <c r="Q296" s="17">
        <v>65.258744106342164</v>
      </c>
      <c r="R296" s="14">
        <v>59</v>
      </c>
      <c r="S296" s="7">
        <v>-6.2587441063421636</v>
      </c>
      <c r="T296" s="8" t="s">
        <v>910</v>
      </c>
    </row>
    <row r="297" spans="1:20">
      <c r="A297" s="5" t="s">
        <v>605</v>
      </c>
      <c r="B297" s="5" t="s">
        <v>606</v>
      </c>
      <c r="C297" s="5" t="s">
        <v>18</v>
      </c>
      <c r="D297" s="5">
        <v>2</v>
      </c>
      <c r="E297" s="6" t="s">
        <v>266</v>
      </c>
      <c r="F297" s="10">
        <v>700</v>
      </c>
      <c r="G297" s="7">
        <v>7.1142416545475688</v>
      </c>
      <c r="H297" s="7">
        <v>8.4069858403840794</v>
      </c>
      <c r="I297" s="7">
        <v>9.2814004735351041</v>
      </c>
      <c r="J297" s="7">
        <v>10.396391195386959</v>
      </c>
      <c r="K297" s="7">
        <v>11.251622229401418</v>
      </c>
      <c r="L297" s="7">
        <v>12.166339403432543</v>
      </c>
      <c r="M297" s="7">
        <v>5.2532793924982908</v>
      </c>
      <c r="N297" s="7">
        <v>5.2</v>
      </c>
      <c r="O297" s="7">
        <v>8.6</v>
      </c>
      <c r="P297" s="7">
        <f t="shared" si="4"/>
        <v>3.3999999999999995</v>
      </c>
      <c r="Q297" s="17">
        <v>63.87026018918597</v>
      </c>
      <c r="R297" s="14">
        <v>62</v>
      </c>
      <c r="S297" s="7">
        <v>-1.87026018918597</v>
      </c>
      <c r="T297" s="8" t="s">
        <v>910</v>
      </c>
    </row>
    <row r="298" spans="1:20">
      <c r="A298" s="5" t="s">
        <v>607</v>
      </c>
      <c r="B298" s="5" t="s">
        <v>608</v>
      </c>
      <c r="C298" s="5" t="s">
        <v>18</v>
      </c>
      <c r="D298" s="5">
        <v>3</v>
      </c>
      <c r="E298" s="6" t="s">
        <v>266</v>
      </c>
      <c r="F298" s="10">
        <v>700</v>
      </c>
      <c r="G298" s="7">
        <v>7.1142416545475688</v>
      </c>
      <c r="H298" s="7">
        <v>8.4069858403840794</v>
      </c>
      <c r="I298" s="7">
        <v>9.2814004735351041</v>
      </c>
      <c r="J298" s="7">
        <v>10.396391195386959</v>
      </c>
      <c r="K298" s="7">
        <v>11.251622229401418</v>
      </c>
      <c r="L298" s="7">
        <v>12.166339403432543</v>
      </c>
      <c r="M298" s="7">
        <v>5.2532793924982908</v>
      </c>
      <c r="N298" s="7">
        <v>8.1</v>
      </c>
      <c r="O298" s="7">
        <v>9</v>
      </c>
      <c r="P298" s="7">
        <f t="shared" si="4"/>
        <v>0.90000000000000036</v>
      </c>
      <c r="Q298" s="17">
        <v>63.87026018918597</v>
      </c>
      <c r="R298" s="14">
        <v>68</v>
      </c>
      <c r="S298" s="7">
        <v>4.12973981081403</v>
      </c>
      <c r="T298" s="8" t="s">
        <v>909</v>
      </c>
    </row>
    <row r="299" spans="1:20">
      <c r="A299" s="5" t="s">
        <v>609</v>
      </c>
      <c r="B299" s="5" t="s">
        <v>610</v>
      </c>
      <c r="C299" s="5" t="s">
        <v>18</v>
      </c>
      <c r="D299" s="5">
        <v>2</v>
      </c>
      <c r="E299" s="6" t="s">
        <v>266</v>
      </c>
      <c r="F299" s="10">
        <v>700</v>
      </c>
      <c r="G299" s="7">
        <v>7.1142416545475688</v>
      </c>
      <c r="H299" s="7">
        <v>8.4069858403840794</v>
      </c>
      <c r="I299" s="7">
        <v>9.2814004735351041</v>
      </c>
      <c r="J299" s="7">
        <v>10.396391195386959</v>
      </c>
      <c r="K299" s="7">
        <v>11.251622229401418</v>
      </c>
      <c r="L299" s="7">
        <v>12.166339403432543</v>
      </c>
      <c r="M299" s="7">
        <v>5.2532793924982908</v>
      </c>
      <c r="N299" s="7">
        <v>10.5</v>
      </c>
      <c r="O299" s="7">
        <v>20.399999999999999</v>
      </c>
      <c r="P299" s="7">
        <f t="shared" si="4"/>
        <v>9.8999999999999986</v>
      </c>
      <c r="Q299" s="17">
        <v>63.87026018918597</v>
      </c>
      <c r="R299" s="14">
        <v>198</v>
      </c>
      <c r="S299" s="7">
        <v>134.12973981081404</v>
      </c>
      <c r="T299" s="8" t="s">
        <v>909</v>
      </c>
    </row>
    <row r="300" spans="1:20">
      <c r="A300" s="5" t="s">
        <v>611</v>
      </c>
      <c r="B300" s="5" t="s">
        <v>612</v>
      </c>
      <c r="C300" s="5" t="s">
        <v>18</v>
      </c>
      <c r="D300" s="5">
        <v>2</v>
      </c>
      <c r="E300" s="6" t="s">
        <v>266</v>
      </c>
      <c r="F300" s="10">
        <v>700</v>
      </c>
      <c r="G300" s="7">
        <v>7.1142416545475688</v>
      </c>
      <c r="H300" s="7">
        <v>8.4069858403840794</v>
      </c>
      <c r="I300" s="7">
        <v>9.2814004735351041</v>
      </c>
      <c r="J300" s="7">
        <v>10.396391195386959</v>
      </c>
      <c r="K300" s="7">
        <v>11.251622229401418</v>
      </c>
      <c r="L300" s="7">
        <v>12.166339403432543</v>
      </c>
      <c r="M300" s="7">
        <v>5.2532793924982908</v>
      </c>
      <c r="N300" s="7">
        <v>14.2</v>
      </c>
      <c r="O300" s="7">
        <v>19</v>
      </c>
      <c r="P300" s="7">
        <f t="shared" si="4"/>
        <v>4.8000000000000007</v>
      </c>
      <c r="Q300" s="17">
        <v>63.87026018918597</v>
      </c>
      <c r="R300" s="14">
        <v>119</v>
      </c>
      <c r="S300" s="7">
        <v>55.12973981081403</v>
      </c>
      <c r="T300" s="8" t="s">
        <v>909</v>
      </c>
    </row>
    <row r="301" spans="1:20">
      <c r="A301" s="5" t="s">
        <v>613</v>
      </c>
      <c r="B301" s="5" t="s">
        <v>614</v>
      </c>
      <c r="C301" s="5" t="s">
        <v>18</v>
      </c>
      <c r="D301" s="5">
        <v>4</v>
      </c>
      <c r="E301" s="6" t="s">
        <v>266</v>
      </c>
      <c r="F301" s="10">
        <v>700</v>
      </c>
      <c r="G301" s="7">
        <v>7.1142416545475688</v>
      </c>
      <c r="H301" s="7">
        <v>8.4069858403840794</v>
      </c>
      <c r="I301" s="7">
        <v>9.2814004735351041</v>
      </c>
      <c r="J301" s="7">
        <v>10.396391195386959</v>
      </c>
      <c r="K301" s="7">
        <v>11.251622229401418</v>
      </c>
      <c r="L301" s="7">
        <v>12.166339403432543</v>
      </c>
      <c r="M301" s="7">
        <v>5.2532793924982908</v>
      </c>
      <c r="N301" s="7">
        <v>8.9</v>
      </c>
      <c r="O301" s="7">
        <v>4.8</v>
      </c>
      <c r="P301" s="7">
        <f t="shared" si="4"/>
        <v>-4.1000000000000005</v>
      </c>
      <c r="Q301" s="17">
        <v>63.87026018918597</v>
      </c>
      <c r="R301" s="14">
        <v>34</v>
      </c>
      <c r="S301" s="7">
        <v>-29.87026018918597</v>
      </c>
      <c r="T301" s="8" t="s">
        <v>910</v>
      </c>
    </row>
    <row r="302" spans="1:20">
      <c r="A302" s="5" t="s">
        <v>615</v>
      </c>
      <c r="B302" s="5" t="s">
        <v>616</v>
      </c>
      <c r="C302" s="5" t="s">
        <v>18</v>
      </c>
      <c r="D302" s="5">
        <v>2</v>
      </c>
      <c r="E302" s="6" t="s">
        <v>266</v>
      </c>
      <c r="F302" s="10">
        <v>700</v>
      </c>
      <c r="G302" s="7">
        <v>7.1142416545475688</v>
      </c>
      <c r="H302" s="7">
        <v>8.4069858403840794</v>
      </c>
      <c r="I302" s="7">
        <v>9.2814004735351041</v>
      </c>
      <c r="J302" s="7">
        <v>10.396391195386959</v>
      </c>
      <c r="K302" s="7">
        <v>11.251622229401418</v>
      </c>
      <c r="L302" s="7">
        <v>12.166339403432543</v>
      </c>
      <c r="M302" s="7">
        <v>5.2532793924982908</v>
      </c>
      <c r="N302" s="7">
        <v>8.5</v>
      </c>
      <c r="O302" s="7">
        <v>10.4</v>
      </c>
      <c r="P302" s="7">
        <f t="shared" si="4"/>
        <v>1.9000000000000004</v>
      </c>
      <c r="Q302" s="17">
        <v>63.87026018918597</v>
      </c>
      <c r="R302" s="14">
        <v>72</v>
      </c>
      <c r="S302" s="7">
        <v>8.12973981081403</v>
      </c>
      <c r="T302" s="8" t="s">
        <v>909</v>
      </c>
    </row>
    <row r="303" spans="1:20">
      <c r="A303" s="5" t="s">
        <v>617</v>
      </c>
      <c r="B303" s="5" t="s">
        <v>618</v>
      </c>
      <c r="C303" s="5" t="s">
        <v>18</v>
      </c>
      <c r="D303" s="5">
        <v>3</v>
      </c>
      <c r="E303" s="6" t="s">
        <v>266</v>
      </c>
      <c r="F303" s="10">
        <v>700</v>
      </c>
      <c r="G303" s="7">
        <v>6.9595842272747959</v>
      </c>
      <c r="H303" s="7">
        <v>8.2242252786366006</v>
      </c>
      <c r="I303" s="7">
        <v>9.0796308980234706</v>
      </c>
      <c r="J303" s="7">
        <v>10.170382691139418</v>
      </c>
      <c r="K303" s="7">
        <v>11.007021746153562</v>
      </c>
      <c r="L303" s="7">
        <v>11.901853764227488</v>
      </c>
      <c r="M303" s="7">
        <v>5.1390776665744147</v>
      </c>
      <c r="N303" s="7">
        <v>8.8000000000000007</v>
      </c>
      <c r="O303" s="7">
        <v>4.8</v>
      </c>
      <c r="P303" s="7">
        <f t="shared" si="4"/>
        <v>-4.0000000000000009</v>
      </c>
      <c r="Q303" s="17">
        <v>62.481776272029748</v>
      </c>
      <c r="R303" s="14">
        <v>36</v>
      </c>
      <c r="S303" s="7">
        <v>-26.481776272029748</v>
      </c>
      <c r="T303" s="8" t="s">
        <v>910</v>
      </c>
    </row>
    <row r="304" spans="1:20">
      <c r="A304" s="5" t="s">
        <v>619</v>
      </c>
      <c r="B304" s="5" t="s">
        <v>620</v>
      </c>
      <c r="C304" s="5" t="s">
        <v>18</v>
      </c>
      <c r="D304" s="5">
        <v>3</v>
      </c>
      <c r="E304" s="6" t="s">
        <v>266</v>
      </c>
      <c r="F304" s="10">
        <v>700</v>
      </c>
      <c r="G304" s="7">
        <v>6.9595842272747959</v>
      </c>
      <c r="H304" s="7">
        <v>8.2242252786366006</v>
      </c>
      <c r="I304" s="7">
        <v>9.0796308980234706</v>
      </c>
      <c r="J304" s="7">
        <v>10.170382691139418</v>
      </c>
      <c r="K304" s="7">
        <v>11.007021746153562</v>
      </c>
      <c r="L304" s="7">
        <v>11.901853764227488</v>
      </c>
      <c r="M304" s="7">
        <v>5.1390776665744147</v>
      </c>
      <c r="N304" s="7">
        <v>12.4</v>
      </c>
      <c r="O304" s="7">
        <v>10.4</v>
      </c>
      <c r="P304" s="7">
        <f t="shared" si="4"/>
        <v>-2</v>
      </c>
      <c r="Q304" s="17">
        <v>62.481776272029748</v>
      </c>
      <c r="R304" s="14">
        <v>77</v>
      </c>
      <c r="S304" s="7">
        <v>14.518223727970252</v>
      </c>
      <c r="T304" s="8" t="s">
        <v>909</v>
      </c>
    </row>
    <row r="305" spans="1:20">
      <c r="A305" s="5" t="s">
        <v>621</v>
      </c>
      <c r="B305" s="5" t="s">
        <v>622</v>
      </c>
      <c r="C305" s="5" t="s">
        <v>18</v>
      </c>
      <c r="D305" s="5">
        <v>4</v>
      </c>
      <c r="E305" s="6" t="s">
        <v>266</v>
      </c>
      <c r="F305" s="10">
        <v>700</v>
      </c>
      <c r="G305" s="7">
        <v>6.9595842272747959</v>
      </c>
      <c r="H305" s="7">
        <v>8.2242252786366006</v>
      </c>
      <c r="I305" s="7">
        <v>9.0796308980234706</v>
      </c>
      <c r="J305" s="7">
        <v>10.170382691139418</v>
      </c>
      <c r="K305" s="7">
        <v>11.007021746153562</v>
      </c>
      <c r="L305" s="7">
        <v>11.901853764227488</v>
      </c>
      <c r="M305" s="7">
        <v>5.1390776665744147</v>
      </c>
      <c r="N305" s="7">
        <v>15.7</v>
      </c>
      <c r="O305" s="7">
        <v>8.8000000000000007</v>
      </c>
      <c r="P305" s="7">
        <f t="shared" si="4"/>
        <v>-6.8999999999999986</v>
      </c>
      <c r="Q305" s="17">
        <v>62.481776272029748</v>
      </c>
      <c r="R305" s="14">
        <v>68</v>
      </c>
      <c r="S305" s="7">
        <v>5.518223727970252</v>
      </c>
      <c r="T305" s="8" t="s">
        <v>909</v>
      </c>
    </row>
    <row r="306" spans="1:20">
      <c r="A306" s="5" t="s">
        <v>623</v>
      </c>
      <c r="B306" s="5" t="s">
        <v>624</v>
      </c>
      <c r="C306" s="5" t="s">
        <v>67</v>
      </c>
      <c r="D306" s="5">
        <v>1</v>
      </c>
      <c r="E306" s="6" t="s">
        <v>266</v>
      </c>
      <c r="F306" s="10">
        <v>700</v>
      </c>
      <c r="G306" s="7">
        <v>6.9595842272747959</v>
      </c>
      <c r="H306" s="7">
        <v>8.2242252786366006</v>
      </c>
      <c r="I306" s="7">
        <v>9.0796308980234706</v>
      </c>
      <c r="J306" s="7">
        <v>10.170382691139418</v>
      </c>
      <c r="K306" s="7">
        <v>11.007021746153562</v>
      </c>
      <c r="L306" s="7">
        <v>11.901853764227488</v>
      </c>
      <c r="M306" s="7">
        <v>5.1390776665744147</v>
      </c>
      <c r="N306" s="7">
        <v>6.5</v>
      </c>
      <c r="O306" s="7">
        <v>10.6</v>
      </c>
      <c r="P306" s="7">
        <f t="shared" si="4"/>
        <v>4.0999999999999996</v>
      </c>
      <c r="Q306" s="17">
        <v>62.481776272029748</v>
      </c>
      <c r="R306" s="14">
        <v>65</v>
      </c>
      <c r="S306" s="7">
        <v>2.518223727970252</v>
      </c>
      <c r="T306" s="8" t="s">
        <v>909</v>
      </c>
    </row>
    <row r="307" spans="1:20">
      <c r="A307" s="5" t="s">
        <v>625</v>
      </c>
      <c r="B307" s="5" t="s">
        <v>626</v>
      </c>
      <c r="C307" s="5" t="s">
        <v>67</v>
      </c>
      <c r="D307" s="5">
        <v>1</v>
      </c>
      <c r="E307" s="6" t="s">
        <v>266</v>
      </c>
      <c r="F307" s="10">
        <v>700</v>
      </c>
      <c r="G307" s="7">
        <v>6.9595842272747959</v>
      </c>
      <c r="H307" s="7">
        <v>8.2242252786366006</v>
      </c>
      <c r="I307" s="7">
        <v>9.0796308980234706</v>
      </c>
      <c r="J307" s="7">
        <v>10.170382691139418</v>
      </c>
      <c r="K307" s="7">
        <v>11.007021746153562</v>
      </c>
      <c r="L307" s="7">
        <v>11.901853764227488</v>
      </c>
      <c r="M307" s="7">
        <v>5.1390776665744147</v>
      </c>
      <c r="N307" s="7">
        <v>6.8</v>
      </c>
      <c r="O307" s="7">
        <v>11.4</v>
      </c>
      <c r="P307" s="7">
        <f t="shared" si="4"/>
        <v>4.6000000000000005</v>
      </c>
      <c r="Q307" s="17">
        <v>62.481776272029748</v>
      </c>
      <c r="R307" s="14">
        <v>75</v>
      </c>
      <c r="S307" s="7">
        <v>12.518223727970252</v>
      </c>
      <c r="T307" s="8" t="s">
        <v>909</v>
      </c>
    </row>
    <row r="308" spans="1:20">
      <c r="A308" s="5" t="s">
        <v>627</v>
      </c>
      <c r="B308" s="5" t="s">
        <v>628</v>
      </c>
      <c r="C308" s="5" t="s">
        <v>18</v>
      </c>
      <c r="D308" s="5">
        <v>1</v>
      </c>
      <c r="E308" s="6" t="s">
        <v>266</v>
      </c>
      <c r="F308" s="10">
        <v>700</v>
      </c>
      <c r="G308" s="7">
        <v>6.804926800002022</v>
      </c>
      <c r="H308" s="7">
        <v>8.04146471688912</v>
      </c>
      <c r="I308" s="7">
        <v>8.877861322511837</v>
      </c>
      <c r="J308" s="7">
        <v>9.944374186891876</v>
      </c>
      <c r="K308" s="7">
        <v>10.762421262905704</v>
      </c>
      <c r="L308" s="7">
        <v>11.637368125022432</v>
      </c>
      <c r="M308" s="7">
        <v>5.0248759406505394</v>
      </c>
      <c r="N308" s="7">
        <v>8.3000000000000007</v>
      </c>
      <c r="O308" s="7">
        <v>7.8</v>
      </c>
      <c r="P308" s="7">
        <f t="shared" si="4"/>
        <v>-0.50000000000000089</v>
      </c>
      <c r="Q308" s="17">
        <v>61.093292354873533</v>
      </c>
      <c r="R308" s="14">
        <v>57</v>
      </c>
      <c r="S308" s="7">
        <v>-4.0932923548735332</v>
      </c>
      <c r="T308" s="8" t="s">
        <v>910</v>
      </c>
    </row>
    <row r="309" spans="1:20">
      <c r="A309" s="5" t="s">
        <v>629</v>
      </c>
      <c r="B309" s="5" t="s">
        <v>630</v>
      </c>
      <c r="C309" s="5" t="s">
        <v>18</v>
      </c>
      <c r="D309" s="5">
        <v>3</v>
      </c>
      <c r="E309" s="6" t="s">
        <v>266</v>
      </c>
      <c r="F309" s="10">
        <v>700</v>
      </c>
      <c r="G309" s="7">
        <v>6.804926800002022</v>
      </c>
      <c r="H309" s="7">
        <v>8.04146471688912</v>
      </c>
      <c r="I309" s="7">
        <v>8.877861322511837</v>
      </c>
      <c r="J309" s="7">
        <v>9.944374186891876</v>
      </c>
      <c r="K309" s="7">
        <v>10.762421262905704</v>
      </c>
      <c r="L309" s="7">
        <v>11.637368125022432</v>
      </c>
      <c r="M309" s="7">
        <v>5.0248759406505394</v>
      </c>
      <c r="N309" s="7">
        <v>11.7</v>
      </c>
      <c r="O309" s="7">
        <v>11.6</v>
      </c>
      <c r="P309" s="7">
        <f t="shared" si="4"/>
        <v>-9.9999999999999645E-2</v>
      </c>
      <c r="Q309" s="17">
        <v>61.093292354873533</v>
      </c>
      <c r="R309" s="14">
        <v>82</v>
      </c>
      <c r="S309" s="7">
        <v>20.906707645126467</v>
      </c>
      <c r="T309" s="8" t="s">
        <v>909</v>
      </c>
    </row>
    <row r="310" spans="1:20">
      <c r="A310" s="5" t="s">
        <v>631</v>
      </c>
      <c r="B310" s="5" t="s">
        <v>632</v>
      </c>
      <c r="C310" s="5" t="s">
        <v>18</v>
      </c>
      <c r="D310" s="5">
        <v>3</v>
      </c>
      <c r="E310" s="6" t="s">
        <v>266</v>
      </c>
      <c r="F310" s="10">
        <v>700</v>
      </c>
      <c r="G310" s="7">
        <v>6.804926800002022</v>
      </c>
      <c r="H310" s="7">
        <v>8.04146471688912</v>
      </c>
      <c r="I310" s="7">
        <v>8.877861322511837</v>
      </c>
      <c r="J310" s="7">
        <v>9.944374186891876</v>
      </c>
      <c r="K310" s="7">
        <v>10.762421262905704</v>
      </c>
      <c r="L310" s="7">
        <v>11.637368125022432</v>
      </c>
      <c r="M310" s="7">
        <v>5.0248759406505394</v>
      </c>
      <c r="N310" s="7">
        <v>7.5</v>
      </c>
      <c r="O310" s="7">
        <v>8.6</v>
      </c>
      <c r="P310" s="7">
        <f t="shared" si="4"/>
        <v>1.0999999999999996</v>
      </c>
      <c r="Q310" s="17">
        <v>61.093292354873533</v>
      </c>
      <c r="R310" s="14">
        <v>56</v>
      </c>
      <c r="S310" s="7">
        <v>-5.0932923548735332</v>
      </c>
      <c r="T310" s="8" t="s">
        <v>910</v>
      </c>
    </row>
    <row r="311" spans="1:20">
      <c r="A311" s="5" t="s">
        <v>633</v>
      </c>
      <c r="B311" s="5" t="s">
        <v>634</v>
      </c>
      <c r="C311" s="5" t="s">
        <v>18</v>
      </c>
      <c r="D311" s="5">
        <v>3</v>
      </c>
      <c r="E311" s="6" t="s">
        <v>266</v>
      </c>
      <c r="F311" s="10">
        <v>700</v>
      </c>
      <c r="G311" s="7">
        <v>6.804926800002022</v>
      </c>
      <c r="H311" s="7">
        <v>8.04146471688912</v>
      </c>
      <c r="I311" s="7">
        <v>8.877861322511837</v>
      </c>
      <c r="J311" s="7">
        <v>9.944374186891876</v>
      </c>
      <c r="K311" s="7">
        <v>10.762421262905704</v>
      </c>
      <c r="L311" s="7">
        <v>11.637368125022432</v>
      </c>
      <c r="M311" s="7">
        <v>5.0248759406505394</v>
      </c>
      <c r="N311" s="7">
        <v>10</v>
      </c>
      <c r="O311" s="7">
        <v>6.6</v>
      </c>
      <c r="P311" s="7">
        <f t="shared" si="4"/>
        <v>-3.4000000000000004</v>
      </c>
      <c r="Q311" s="17">
        <v>61.093292354873533</v>
      </c>
      <c r="R311" s="14">
        <v>52</v>
      </c>
      <c r="S311" s="7">
        <v>-9.0932923548735332</v>
      </c>
      <c r="T311" s="8" t="s">
        <v>910</v>
      </c>
    </row>
    <row r="312" spans="1:20">
      <c r="A312" s="5" t="s">
        <v>635</v>
      </c>
      <c r="B312" s="5" t="s">
        <v>636</v>
      </c>
      <c r="C312" s="5" t="s">
        <v>18</v>
      </c>
      <c r="D312" s="5">
        <v>3</v>
      </c>
      <c r="E312" s="6" t="s">
        <v>266</v>
      </c>
      <c r="F312" s="10">
        <v>700</v>
      </c>
      <c r="G312" s="7">
        <v>6.804926800002022</v>
      </c>
      <c r="H312" s="7">
        <v>8.04146471688912</v>
      </c>
      <c r="I312" s="7">
        <v>8.877861322511837</v>
      </c>
      <c r="J312" s="7">
        <v>9.944374186891876</v>
      </c>
      <c r="K312" s="7">
        <v>10.762421262905704</v>
      </c>
      <c r="L312" s="7">
        <v>11.637368125022432</v>
      </c>
      <c r="M312" s="7">
        <v>5.0248759406505394</v>
      </c>
      <c r="N312" s="7">
        <v>10.9</v>
      </c>
      <c r="O312" s="7">
        <v>12</v>
      </c>
      <c r="P312" s="7">
        <f t="shared" si="4"/>
        <v>1.0999999999999996</v>
      </c>
      <c r="Q312" s="17">
        <v>61.093292354873533</v>
      </c>
      <c r="R312" s="14">
        <v>74</v>
      </c>
      <c r="S312" s="7">
        <v>12.906707645126467</v>
      </c>
      <c r="T312" s="8" t="s">
        <v>909</v>
      </c>
    </row>
    <row r="313" spans="1:20">
      <c r="A313" s="5" t="s">
        <v>637</v>
      </c>
      <c r="B313" s="5" t="s">
        <v>638</v>
      </c>
      <c r="C313" s="5" t="s">
        <v>18</v>
      </c>
      <c r="D313" s="5">
        <v>4</v>
      </c>
      <c r="E313" s="6" t="s">
        <v>266</v>
      </c>
      <c r="F313" s="10">
        <v>700</v>
      </c>
      <c r="G313" s="7">
        <v>6.804926800002022</v>
      </c>
      <c r="H313" s="7">
        <v>8.04146471688912</v>
      </c>
      <c r="I313" s="7">
        <v>8.877861322511837</v>
      </c>
      <c r="J313" s="7">
        <v>9.944374186891876</v>
      </c>
      <c r="K313" s="7">
        <v>10.762421262905704</v>
      </c>
      <c r="L313" s="7">
        <v>11.637368125022432</v>
      </c>
      <c r="M313" s="7">
        <v>5.0248759406505394</v>
      </c>
      <c r="N313" s="7">
        <v>7.8</v>
      </c>
      <c r="O313" s="7">
        <v>5.6</v>
      </c>
      <c r="P313" s="7">
        <f t="shared" si="4"/>
        <v>-2.2000000000000002</v>
      </c>
      <c r="Q313" s="17">
        <v>61.093292354873533</v>
      </c>
      <c r="R313" s="14">
        <v>54</v>
      </c>
      <c r="S313" s="7">
        <v>-7.0932923548735332</v>
      </c>
      <c r="T313" s="8" t="s">
        <v>910</v>
      </c>
    </row>
    <row r="314" spans="1:20">
      <c r="A314" s="5" t="s">
        <v>639</v>
      </c>
      <c r="B314" s="5" t="s">
        <v>640</v>
      </c>
      <c r="C314" s="5" t="s">
        <v>18</v>
      </c>
      <c r="D314" s="5">
        <v>4</v>
      </c>
      <c r="E314" s="6" t="s">
        <v>266</v>
      </c>
      <c r="F314" s="10">
        <v>700</v>
      </c>
      <c r="G314" s="7">
        <v>6.804926800002022</v>
      </c>
      <c r="H314" s="7">
        <v>8.04146471688912</v>
      </c>
      <c r="I314" s="7">
        <v>8.877861322511837</v>
      </c>
      <c r="J314" s="7">
        <v>9.944374186891876</v>
      </c>
      <c r="K314" s="7">
        <v>10.762421262905704</v>
      </c>
      <c r="L314" s="7">
        <v>11.637368125022432</v>
      </c>
      <c r="M314" s="7">
        <v>5.0248759406505394</v>
      </c>
      <c r="N314" s="7">
        <v>12.1</v>
      </c>
      <c r="O314" s="7">
        <v>7</v>
      </c>
      <c r="P314" s="7">
        <f t="shared" si="4"/>
        <v>-5.0999999999999996</v>
      </c>
      <c r="Q314" s="17">
        <v>61.093292354873533</v>
      </c>
      <c r="R314" s="14">
        <v>52</v>
      </c>
      <c r="S314" s="7">
        <v>-9.0932923548735332</v>
      </c>
      <c r="T314" s="8" t="s">
        <v>910</v>
      </c>
    </row>
    <row r="315" spans="1:20">
      <c r="A315" s="5" t="s">
        <v>641</v>
      </c>
      <c r="B315" s="5" t="s">
        <v>642</v>
      </c>
      <c r="C315" s="5" t="s">
        <v>18</v>
      </c>
      <c r="D315" s="5">
        <v>4</v>
      </c>
      <c r="E315" s="6" t="s">
        <v>266</v>
      </c>
      <c r="F315" s="10">
        <v>700</v>
      </c>
      <c r="G315" s="7">
        <v>6.804926800002022</v>
      </c>
      <c r="H315" s="7">
        <v>8.04146471688912</v>
      </c>
      <c r="I315" s="7">
        <v>8.877861322511837</v>
      </c>
      <c r="J315" s="7">
        <v>9.944374186891876</v>
      </c>
      <c r="K315" s="7">
        <v>10.762421262905704</v>
      </c>
      <c r="L315" s="7">
        <v>11.637368125022432</v>
      </c>
      <c r="M315" s="7">
        <v>5.0248759406505394</v>
      </c>
      <c r="N315" s="7">
        <v>10.3</v>
      </c>
      <c r="O315" s="7">
        <v>1.2</v>
      </c>
      <c r="P315" s="7">
        <f t="shared" si="4"/>
        <v>-9.1000000000000014</v>
      </c>
      <c r="Q315" s="17">
        <v>61.093292354873533</v>
      </c>
      <c r="R315" s="14">
        <v>10</v>
      </c>
      <c r="S315" s="7">
        <v>-51.093292354873533</v>
      </c>
      <c r="T315" s="8" t="s">
        <v>910</v>
      </c>
    </row>
    <row r="316" spans="1:20">
      <c r="A316" s="5" t="s">
        <v>643</v>
      </c>
      <c r="B316" s="5" t="s">
        <v>644</v>
      </c>
      <c r="C316" s="5" t="s">
        <v>67</v>
      </c>
      <c r="D316" s="5">
        <v>2</v>
      </c>
      <c r="E316" s="6" t="s">
        <v>266</v>
      </c>
      <c r="F316" s="10">
        <v>700</v>
      </c>
      <c r="G316" s="7">
        <v>6.804926800002022</v>
      </c>
      <c r="H316" s="7">
        <v>8.04146471688912</v>
      </c>
      <c r="I316" s="7">
        <v>8.877861322511837</v>
      </c>
      <c r="J316" s="7">
        <v>9.944374186891876</v>
      </c>
      <c r="K316" s="7">
        <v>10.762421262905704</v>
      </c>
      <c r="L316" s="7">
        <v>11.637368125022432</v>
      </c>
      <c r="M316" s="7">
        <v>5.0248759406505394</v>
      </c>
      <c r="N316" s="7">
        <v>7.5</v>
      </c>
      <c r="O316" s="7">
        <v>10.199999999999999</v>
      </c>
      <c r="P316" s="7">
        <f t="shared" si="4"/>
        <v>2.6999999999999993</v>
      </c>
      <c r="Q316" s="17">
        <v>61.093292354873533</v>
      </c>
      <c r="R316" s="14">
        <v>75</v>
      </c>
      <c r="S316" s="7">
        <v>13.906707645126467</v>
      </c>
      <c r="T316" s="8" t="s">
        <v>909</v>
      </c>
    </row>
    <row r="317" spans="1:20">
      <c r="A317" s="5" t="s">
        <v>645</v>
      </c>
      <c r="B317" s="5" t="s">
        <v>646</v>
      </c>
      <c r="C317" s="5" t="s">
        <v>67</v>
      </c>
      <c r="D317" s="5">
        <v>2</v>
      </c>
      <c r="E317" s="6" t="s">
        <v>266</v>
      </c>
      <c r="F317" s="10">
        <v>700</v>
      </c>
      <c r="G317" s="7">
        <v>6.804926800002022</v>
      </c>
      <c r="H317" s="7">
        <v>8.04146471688912</v>
      </c>
      <c r="I317" s="7">
        <v>8.877861322511837</v>
      </c>
      <c r="J317" s="7">
        <v>9.944374186891876</v>
      </c>
      <c r="K317" s="7">
        <v>10.762421262905704</v>
      </c>
      <c r="L317" s="7">
        <v>11.637368125022432</v>
      </c>
      <c r="M317" s="7">
        <v>5.0248759406505394</v>
      </c>
      <c r="N317" s="7">
        <v>8.8000000000000007</v>
      </c>
      <c r="O317" s="7">
        <v>11.2</v>
      </c>
      <c r="P317" s="7">
        <f t="shared" si="4"/>
        <v>2.3999999999999986</v>
      </c>
      <c r="Q317" s="17">
        <v>61.093292354873533</v>
      </c>
      <c r="R317" s="14">
        <v>95</v>
      </c>
      <c r="S317" s="7">
        <v>33.906707645126467</v>
      </c>
      <c r="T317" s="8" t="s">
        <v>909</v>
      </c>
    </row>
    <row r="318" spans="1:20">
      <c r="A318" s="5" t="s">
        <v>647</v>
      </c>
      <c r="B318" s="5" t="s">
        <v>648</v>
      </c>
      <c r="C318" s="5" t="s">
        <v>18</v>
      </c>
      <c r="D318" s="5">
        <v>1</v>
      </c>
      <c r="E318" s="6" t="s">
        <v>266</v>
      </c>
      <c r="F318" s="10">
        <v>700</v>
      </c>
      <c r="G318" s="7">
        <v>6.650269372729249</v>
      </c>
      <c r="H318" s="7">
        <v>7.8587041551416394</v>
      </c>
      <c r="I318" s="7">
        <v>8.6760917470002052</v>
      </c>
      <c r="J318" s="7">
        <v>9.7183656826443325</v>
      </c>
      <c r="K318" s="7">
        <v>10.517820779657846</v>
      </c>
      <c r="L318" s="7">
        <v>11.372882485817376</v>
      </c>
      <c r="M318" s="7">
        <v>4.9106742147266633</v>
      </c>
      <c r="N318" s="7">
        <v>11.2</v>
      </c>
      <c r="O318" s="7">
        <v>6.6</v>
      </c>
      <c r="P318" s="7">
        <f t="shared" si="4"/>
        <v>-4.5999999999999996</v>
      </c>
      <c r="Q318" s="17">
        <v>59.704808437717311</v>
      </c>
      <c r="R318" s="14">
        <v>52</v>
      </c>
      <c r="S318" s="7">
        <v>-7.7048084377173112</v>
      </c>
      <c r="T318" s="8" t="s">
        <v>910</v>
      </c>
    </row>
    <row r="319" spans="1:20">
      <c r="A319" s="5" t="s">
        <v>649</v>
      </c>
      <c r="B319" s="5" t="s">
        <v>650</v>
      </c>
      <c r="C319" s="5" t="s">
        <v>18</v>
      </c>
      <c r="D319" s="5">
        <v>2</v>
      </c>
      <c r="E319" s="6" t="s">
        <v>266</v>
      </c>
      <c r="F319" s="10">
        <v>700</v>
      </c>
      <c r="G319" s="7">
        <v>6.650269372729249</v>
      </c>
      <c r="H319" s="7">
        <v>7.8587041551416394</v>
      </c>
      <c r="I319" s="7">
        <v>8.6760917470002052</v>
      </c>
      <c r="J319" s="7">
        <v>9.7183656826443325</v>
      </c>
      <c r="K319" s="7">
        <v>10.517820779657846</v>
      </c>
      <c r="L319" s="7">
        <v>11.372882485817376</v>
      </c>
      <c r="M319" s="7">
        <v>4.9106742147266633</v>
      </c>
      <c r="N319" s="7">
        <v>7.9</v>
      </c>
      <c r="O319" s="7">
        <v>3.8</v>
      </c>
      <c r="P319" s="7">
        <f t="shared" si="4"/>
        <v>-4.1000000000000005</v>
      </c>
      <c r="Q319" s="17">
        <v>59.704808437717311</v>
      </c>
      <c r="R319" s="14">
        <v>35</v>
      </c>
      <c r="S319" s="7">
        <v>-24.704808437717311</v>
      </c>
      <c r="T319" s="8" t="s">
        <v>910</v>
      </c>
    </row>
    <row r="320" spans="1:20">
      <c r="A320" s="5" t="s">
        <v>651</v>
      </c>
      <c r="B320" s="5" t="s">
        <v>652</v>
      </c>
      <c r="C320" s="5" t="s">
        <v>18</v>
      </c>
      <c r="D320" s="5">
        <v>4</v>
      </c>
      <c r="E320" s="6" t="s">
        <v>266</v>
      </c>
      <c r="F320" s="10">
        <v>700</v>
      </c>
      <c r="G320" s="7">
        <v>6.650269372729249</v>
      </c>
      <c r="H320" s="7">
        <v>7.8587041551416394</v>
      </c>
      <c r="I320" s="7">
        <v>8.6760917470002052</v>
      </c>
      <c r="J320" s="7">
        <v>9.7183656826443325</v>
      </c>
      <c r="K320" s="7">
        <v>10.517820779657846</v>
      </c>
      <c r="L320" s="7">
        <v>11.372882485817376</v>
      </c>
      <c r="M320" s="7">
        <v>4.9106742147266633</v>
      </c>
      <c r="N320" s="7">
        <v>10.1</v>
      </c>
      <c r="O320" s="7">
        <v>28.2</v>
      </c>
      <c r="P320" s="7">
        <f t="shared" si="4"/>
        <v>18.100000000000001</v>
      </c>
      <c r="Q320" s="17">
        <v>59.704808437717311</v>
      </c>
      <c r="R320" s="14">
        <v>243</v>
      </c>
      <c r="S320" s="7">
        <v>183.2951915622827</v>
      </c>
      <c r="T320" s="8" t="s">
        <v>909</v>
      </c>
    </row>
    <row r="321" spans="1:20">
      <c r="A321" s="5" t="s">
        <v>653</v>
      </c>
      <c r="B321" s="5" t="s">
        <v>654</v>
      </c>
      <c r="C321" s="5" t="s">
        <v>18</v>
      </c>
      <c r="D321" s="5">
        <v>3</v>
      </c>
      <c r="E321" s="6" t="s">
        <v>266</v>
      </c>
      <c r="F321" s="10">
        <v>700</v>
      </c>
      <c r="G321" s="7">
        <v>6.650269372729249</v>
      </c>
      <c r="H321" s="7">
        <v>7.8587041551416394</v>
      </c>
      <c r="I321" s="7">
        <v>8.6760917470002052</v>
      </c>
      <c r="J321" s="7">
        <v>9.7183656826443325</v>
      </c>
      <c r="K321" s="7">
        <v>10.517820779657846</v>
      </c>
      <c r="L321" s="7">
        <v>11.372882485817376</v>
      </c>
      <c r="M321" s="7">
        <v>4.9106742147266633</v>
      </c>
      <c r="N321" s="7">
        <v>8.4</v>
      </c>
      <c r="O321" s="7">
        <v>23.2</v>
      </c>
      <c r="P321" s="7">
        <f t="shared" si="4"/>
        <v>14.799999999999999</v>
      </c>
      <c r="Q321" s="17">
        <v>59.704808437717311</v>
      </c>
      <c r="R321" s="14">
        <v>207</v>
      </c>
      <c r="S321" s="7">
        <v>147.2951915622827</v>
      </c>
      <c r="T321" s="8" t="s">
        <v>909</v>
      </c>
    </row>
    <row r="322" spans="1:20">
      <c r="A322" s="5" t="s">
        <v>655</v>
      </c>
      <c r="B322" s="5" t="s">
        <v>656</v>
      </c>
      <c r="C322" s="5" t="s">
        <v>67</v>
      </c>
      <c r="D322" s="5">
        <v>1</v>
      </c>
      <c r="E322" s="6" t="s">
        <v>266</v>
      </c>
      <c r="F322" s="10">
        <v>700</v>
      </c>
      <c r="G322" s="7">
        <v>6.650269372729249</v>
      </c>
      <c r="H322" s="7">
        <v>7.8587041551416394</v>
      </c>
      <c r="I322" s="7">
        <v>8.6760917470002052</v>
      </c>
      <c r="J322" s="7">
        <v>9.7183656826443325</v>
      </c>
      <c r="K322" s="7">
        <v>10.517820779657846</v>
      </c>
      <c r="L322" s="7">
        <v>11.372882485817376</v>
      </c>
      <c r="M322" s="7">
        <v>4.9106742147266633</v>
      </c>
      <c r="N322" s="7">
        <v>8.6999999999999993</v>
      </c>
      <c r="O322" s="7">
        <v>15.8</v>
      </c>
      <c r="P322" s="7">
        <f t="shared" si="4"/>
        <v>7.1000000000000014</v>
      </c>
      <c r="Q322" s="17">
        <v>59.704808437717311</v>
      </c>
      <c r="R322" s="14">
        <v>103</v>
      </c>
      <c r="S322" s="7">
        <v>43.295191562282689</v>
      </c>
      <c r="T322" s="8" t="s">
        <v>909</v>
      </c>
    </row>
    <row r="323" spans="1:20">
      <c r="A323" s="5" t="s">
        <v>657</v>
      </c>
      <c r="B323" s="5" t="s">
        <v>658</v>
      </c>
      <c r="C323" s="5" t="s">
        <v>18</v>
      </c>
      <c r="D323" s="5">
        <v>2</v>
      </c>
      <c r="E323" s="6" t="s">
        <v>266</v>
      </c>
      <c r="F323" s="10">
        <v>700</v>
      </c>
      <c r="G323" s="7">
        <v>6.650269372729249</v>
      </c>
      <c r="H323" s="7">
        <v>7.8587041551416394</v>
      </c>
      <c r="I323" s="7">
        <v>8.6760917470002052</v>
      </c>
      <c r="J323" s="7">
        <v>9.7183656826443325</v>
      </c>
      <c r="K323" s="7">
        <v>10.517820779657846</v>
      </c>
      <c r="L323" s="7">
        <v>11.372882485817376</v>
      </c>
      <c r="M323" s="7">
        <v>4.9106742147266633</v>
      </c>
      <c r="N323" s="7">
        <v>6.1</v>
      </c>
      <c r="O323" s="7">
        <v>5.2</v>
      </c>
      <c r="P323" s="7">
        <f t="shared" si="4"/>
        <v>-0.89999999999999947</v>
      </c>
      <c r="Q323" s="17">
        <v>59.704808437717311</v>
      </c>
      <c r="R323" s="14">
        <v>40</v>
      </c>
      <c r="S323" s="7">
        <v>-19.704808437717311</v>
      </c>
      <c r="T323" s="8" t="s">
        <v>910</v>
      </c>
    </row>
    <row r="324" spans="1:20">
      <c r="A324" s="5" t="s">
        <v>659</v>
      </c>
      <c r="B324" s="5" t="s">
        <v>660</v>
      </c>
      <c r="C324" s="5" t="s">
        <v>661</v>
      </c>
      <c r="D324" s="5">
        <v>1</v>
      </c>
      <c r="E324" s="6" t="s">
        <v>266</v>
      </c>
      <c r="F324" s="10">
        <v>700</v>
      </c>
      <c r="G324" s="7">
        <v>6.4956119454564751</v>
      </c>
      <c r="H324" s="7">
        <v>7.6759435933941598</v>
      </c>
      <c r="I324" s="7">
        <v>8.4743221714885717</v>
      </c>
      <c r="J324" s="7">
        <v>9.4923571783967891</v>
      </c>
      <c r="K324" s="7">
        <v>10.27322029640999</v>
      </c>
      <c r="L324" s="7">
        <v>11.108396846612322</v>
      </c>
      <c r="M324" s="7">
        <v>4.7964724888027872</v>
      </c>
      <c r="N324" s="7">
        <v>8.5</v>
      </c>
      <c r="O324" s="7">
        <v>10.199999999999999</v>
      </c>
      <c r="P324" s="7">
        <f t="shared" si="4"/>
        <v>1.6999999999999993</v>
      </c>
      <c r="Q324" s="17">
        <v>58.316324520561089</v>
      </c>
      <c r="R324" s="14">
        <v>73</v>
      </c>
      <c r="S324" s="7">
        <v>14.683675479438911</v>
      </c>
      <c r="T324" s="8" t="s">
        <v>909</v>
      </c>
    </row>
    <row r="325" spans="1:20">
      <c r="A325" s="5" t="s">
        <v>662</v>
      </c>
      <c r="B325" s="5" t="s">
        <v>663</v>
      </c>
      <c r="C325" s="5" t="s">
        <v>18</v>
      </c>
      <c r="D325" s="5">
        <v>1</v>
      </c>
      <c r="E325" s="6" t="s">
        <v>266</v>
      </c>
      <c r="F325" s="10">
        <v>700</v>
      </c>
      <c r="G325" s="7">
        <v>6.4956119454564751</v>
      </c>
      <c r="H325" s="7">
        <v>7.6759435933941598</v>
      </c>
      <c r="I325" s="7">
        <v>8.4743221714885717</v>
      </c>
      <c r="J325" s="7">
        <v>9.4923571783967891</v>
      </c>
      <c r="K325" s="7">
        <v>10.27322029640999</v>
      </c>
      <c r="L325" s="7">
        <v>11.108396846612322</v>
      </c>
      <c r="M325" s="7">
        <v>4.7964724888027872</v>
      </c>
      <c r="N325" s="7">
        <v>6.5</v>
      </c>
      <c r="O325" s="7">
        <v>7.4</v>
      </c>
      <c r="P325" s="7">
        <f t="shared" ref="P325:P388" si="5">O325-N325</f>
        <v>0.90000000000000036</v>
      </c>
      <c r="Q325" s="17">
        <v>58.316324520561089</v>
      </c>
      <c r="R325" s="14">
        <v>50</v>
      </c>
      <c r="S325" s="7">
        <v>-8.3163245205610892</v>
      </c>
      <c r="T325" s="8" t="s">
        <v>910</v>
      </c>
    </row>
    <row r="326" spans="1:20">
      <c r="A326" s="5" t="s">
        <v>664</v>
      </c>
      <c r="B326" s="5" t="s">
        <v>665</v>
      </c>
      <c r="C326" s="5" t="s">
        <v>18</v>
      </c>
      <c r="D326" s="5">
        <v>3</v>
      </c>
      <c r="E326" s="6" t="s">
        <v>266</v>
      </c>
      <c r="F326" s="10">
        <v>700</v>
      </c>
      <c r="G326" s="7">
        <v>6.4956119454564751</v>
      </c>
      <c r="H326" s="7">
        <v>7.6759435933941598</v>
      </c>
      <c r="I326" s="7">
        <v>8.4743221714885717</v>
      </c>
      <c r="J326" s="7">
        <v>9.4923571783967891</v>
      </c>
      <c r="K326" s="7">
        <v>10.27322029640999</v>
      </c>
      <c r="L326" s="7">
        <v>11.108396846612322</v>
      </c>
      <c r="M326" s="7">
        <v>4.7964724888027872</v>
      </c>
      <c r="N326" s="7">
        <v>12.1</v>
      </c>
      <c r="O326" s="7">
        <v>10.8</v>
      </c>
      <c r="P326" s="7">
        <f t="shared" si="5"/>
        <v>-1.2999999999999989</v>
      </c>
      <c r="Q326" s="17">
        <v>58.316324520561089</v>
      </c>
      <c r="R326" s="14">
        <v>84</v>
      </c>
      <c r="S326" s="7">
        <v>25.683675479438911</v>
      </c>
      <c r="T326" s="8" t="s">
        <v>909</v>
      </c>
    </row>
    <row r="327" spans="1:20">
      <c r="A327" s="5" t="s">
        <v>666</v>
      </c>
      <c r="B327" s="5" t="s">
        <v>667</v>
      </c>
      <c r="C327" s="5" t="s">
        <v>18</v>
      </c>
      <c r="D327" s="5">
        <v>3</v>
      </c>
      <c r="E327" s="6" t="s">
        <v>266</v>
      </c>
      <c r="F327" s="10">
        <v>700</v>
      </c>
      <c r="G327" s="7">
        <v>6.4956119454564751</v>
      </c>
      <c r="H327" s="7">
        <v>7.6759435933941598</v>
      </c>
      <c r="I327" s="7">
        <v>8.4743221714885717</v>
      </c>
      <c r="J327" s="7">
        <v>9.4923571783967891</v>
      </c>
      <c r="K327" s="7">
        <v>10.27322029640999</v>
      </c>
      <c r="L327" s="7">
        <v>11.108396846612322</v>
      </c>
      <c r="M327" s="7">
        <v>4.7964724888027872</v>
      </c>
      <c r="N327" s="7">
        <v>5.2</v>
      </c>
      <c r="O327" s="7">
        <v>7.4</v>
      </c>
      <c r="P327" s="7">
        <f t="shared" si="5"/>
        <v>2.2000000000000002</v>
      </c>
      <c r="Q327" s="17">
        <v>58.316324520561089</v>
      </c>
      <c r="R327" s="14">
        <v>71</v>
      </c>
      <c r="S327" s="7">
        <v>12.683675479438911</v>
      </c>
      <c r="T327" s="8" t="s">
        <v>909</v>
      </c>
    </row>
    <row r="328" spans="1:20">
      <c r="A328" s="5" t="s">
        <v>668</v>
      </c>
      <c r="B328" s="5" t="s">
        <v>669</v>
      </c>
      <c r="C328" s="5" t="s">
        <v>18</v>
      </c>
      <c r="D328" s="5">
        <v>3</v>
      </c>
      <c r="E328" s="6" t="s">
        <v>266</v>
      </c>
      <c r="F328" s="10">
        <v>700</v>
      </c>
      <c r="G328" s="7">
        <v>6.4956119454564751</v>
      </c>
      <c r="H328" s="7">
        <v>7.6759435933941598</v>
      </c>
      <c r="I328" s="7">
        <v>8.4743221714885717</v>
      </c>
      <c r="J328" s="7">
        <v>9.4923571783967891</v>
      </c>
      <c r="K328" s="7">
        <v>10.27322029640999</v>
      </c>
      <c r="L328" s="7">
        <v>11.108396846612322</v>
      </c>
      <c r="M328" s="7">
        <v>4.7964724888027872</v>
      </c>
      <c r="N328" s="7">
        <v>9.1</v>
      </c>
      <c r="O328" s="7">
        <v>5.2</v>
      </c>
      <c r="P328" s="7">
        <f t="shared" si="5"/>
        <v>-3.8999999999999995</v>
      </c>
      <c r="Q328" s="17">
        <v>58.316324520561089</v>
      </c>
      <c r="R328" s="14">
        <v>43</v>
      </c>
      <c r="S328" s="7">
        <v>-15.316324520561089</v>
      </c>
      <c r="T328" s="8" t="s">
        <v>910</v>
      </c>
    </row>
    <row r="329" spans="1:20">
      <c r="A329" s="5" t="s">
        <v>670</v>
      </c>
      <c r="B329" s="5" t="s">
        <v>671</v>
      </c>
      <c r="C329" s="5" t="s">
        <v>67</v>
      </c>
      <c r="D329" s="5">
        <v>1</v>
      </c>
      <c r="E329" s="6" t="s">
        <v>266</v>
      </c>
      <c r="F329" s="10">
        <v>700</v>
      </c>
      <c r="G329" s="7">
        <v>6.4956119454564751</v>
      </c>
      <c r="H329" s="7">
        <v>7.6759435933941598</v>
      </c>
      <c r="I329" s="7">
        <v>8.4743221714885717</v>
      </c>
      <c r="J329" s="7">
        <v>9.4923571783967891</v>
      </c>
      <c r="K329" s="7">
        <v>10.27322029640999</v>
      </c>
      <c r="L329" s="7">
        <v>11.108396846612322</v>
      </c>
      <c r="M329" s="7">
        <v>4.7964724888027872</v>
      </c>
      <c r="N329" s="7">
        <v>7.8</v>
      </c>
      <c r="O329" s="7">
        <v>12.6</v>
      </c>
      <c r="P329" s="7">
        <f t="shared" si="5"/>
        <v>4.8</v>
      </c>
      <c r="Q329" s="17">
        <v>58.316324520561089</v>
      </c>
      <c r="R329" s="14">
        <v>89</v>
      </c>
      <c r="S329" s="7">
        <v>30.683675479438911</v>
      </c>
      <c r="T329" s="8" t="s">
        <v>909</v>
      </c>
    </row>
    <row r="330" spans="1:20">
      <c r="A330" s="5" t="s">
        <v>672</v>
      </c>
      <c r="B330" s="5" t="s">
        <v>673</v>
      </c>
      <c r="C330" s="5" t="s">
        <v>67</v>
      </c>
      <c r="D330" s="5">
        <v>1</v>
      </c>
      <c r="E330" s="6" t="s">
        <v>266</v>
      </c>
      <c r="F330" s="10">
        <v>700</v>
      </c>
      <c r="G330" s="7">
        <v>6.4956119454564751</v>
      </c>
      <c r="H330" s="7">
        <v>7.6759435933941598</v>
      </c>
      <c r="I330" s="7">
        <v>8.4743221714885717</v>
      </c>
      <c r="J330" s="7">
        <v>9.4923571783967891</v>
      </c>
      <c r="K330" s="7">
        <v>10.27322029640999</v>
      </c>
      <c r="L330" s="7">
        <v>11.108396846612322</v>
      </c>
      <c r="M330" s="7">
        <v>4.7964724888027872</v>
      </c>
      <c r="N330" s="7">
        <v>7.4</v>
      </c>
      <c r="O330" s="7">
        <v>6.6</v>
      </c>
      <c r="P330" s="7">
        <f t="shared" si="5"/>
        <v>-0.80000000000000071</v>
      </c>
      <c r="Q330" s="17">
        <v>58.316324520561089</v>
      </c>
      <c r="R330" s="14">
        <v>55</v>
      </c>
      <c r="S330" s="7">
        <v>-3.3163245205610892</v>
      </c>
      <c r="T330" s="8" t="s">
        <v>910</v>
      </c>
    </row>
    <row r="331" spans="1:20">
      <c r="A331" s="5" t="s">
        <v>674</v>
      </c>
      <c r="B331" s="5" t="s">
        <v>675</v>
      </c>
      <c r="C331" s="5" t="s">
        <v>67</v>
      </c>
      <c r="D331" s="5">
        <v>2</v>
      </c>
      <c r="E331" s="6" t="s">
        <v>266</v>
      </c>
      <c r="F331" s="10">
        <v>700</v>
      </c>
      <c r="G331" s="7">
        <v>6.4956119454564751</v>
      </c>
      <c r="H331" s="7">
        <v>7.6759435933941598</v>
      </c>
      <c r="I331" s="7">
        <v>8.4743221714885717</v>
      </c>
      <c r="J331" s="7">
        <v>9.4923571783967891</v>
      </c>
      <c r="K331" s="7">
        <v>10.27322029640999</v>
      </c>
      <c r="L331" s="7">
        <v>11.108396846612322</v>
      </c>
      <c r="M331" s="7">
        <v>4.7964724888027872</v>
      </c>
      <c r="N331" s="7">
        <v>10.3</v>
      </c>
      <c r="O331" s="7">
        <v>13.8</v>
      </c>
      <c r="P331" s="7">
        <f t="shared" si="5"/>
        <v>3.5</v>
      </c>
      <c r="Q331" s="17">
        <v>58.316324520561089</v>
      </c>
      <c r="R331" s="14">
        <v>95</v>
      </c>
      <c r="S331" s="7">
        <v>36.683675479438911</v>
      </c>
      <c r="T331" s="8" t="s">
        <v>909</v>
      </c>
    </row>
    <row r="332" spans="1:20">
      <c r="A332" s="5" t="s">
        <v>676</v>
      </c>
      <c r="B332" s="5" t="s">
        <v>677</v>
      </c>
      <c r="C332" s="5" t="s">
        <v>18</v>
      </c>
      <c r="D332" s="5">
        <v>1</v>
      </c>
      <c r="E332" s="6" t="s">
        <v>266</v>
      </c>
      <c r="F332" s="10">
        <v>700</v>
      </c>
      <c r="G332" s="7">
        <v>6.4956119454564751</v>
      </c>
      <c r="H332" s="7">
        <v>7.6759435933941598</v>
      </c>
      <c r="I332" s="7">
        <v>8.4743221714885717</v>
      </c>
      <c r="J332" s="7">
        <v>9.4923571783967891</v>
      </c>
      <c r="K332" s="7">
        <v>10.27322029640999</v>
      </c>
      <c r="L332" s="7">
        <v>11.108396846612322</v>
      </c>
      <c r="M332" s="7">
        <v>4.7964724888027872</v>
      </c>
      <c r="N332" s="7">
        <v>10</v>
      </c>
      <c r="O332" s="7">
        <v>11.6</v>
      </c>
      <c r="P332" s="7">
        <f t="shared" si="5"/>
        <v>1.5999999999999996</v>
      </c>
      <c r="Q332" s="17">
        <v>58.316324520561089</v>
      </c>
      <c r="R332" s="14">
        <v>82</v>
      </c>
      <c r="S332" s="7">
        <v>23.683675479438911</v>
      </c>
      <c r="T332" s="8" t="s">
        <v>909</v>
      </c>
    </row>
    <row r="333" spans="1:20">
      <c r="A333" s="5" t="s">
        <v>678</v>
      </c>
      <c r="B333" s="5" t="s">
        <v>679</v>
      </c>
      <c r="C333" s="5" t="s">
        <v>67</v>
      </c>
      <c r="D333" s="5">
        <v>1</v>
      </c>
      <c r="E333" s="6" t="s">
        <v>266</v>
      </c>
      <c r="F333" s="10">
        <v>700</v>
      </c>
      <c r="G333" s="7">
        <v>6.4956119454564751</v>
      </c>
      <c r="H333" s="7">
        <v>7.6759435933941598</v>
      </c>
      <c r="I333" s="7">
        <v>8.4743221714885717</v>
      </c>
      <c r="J333" s="7">
        <v>9.4923571783967891</v>
      </c>
      <c r="K333" s="7">
        <v>10.27322029640999</v>
      </c>
      <c r="L333" s="7">
        <v>11.108396846612322</v>
      </c>
      <c r="M333" s="7">
        <v>4.7964724888027872</v>
      </c>
      <c r="N333" s="7">
        <v>10.5</v>
      </c>
      <c r="O333" s="7">
        <v>13.6</v>
      </c>
      <c r="P333" s="7">
        <f t="shared" si="5"/>
        <v>3.0999999999999996</v>
      </c>
      <c r="Q333" s="17">
        <v>58.316324520561089</v>
      </c>
      <c r="R333" s="14">
        <v>100</v>
      </c>
      <c r="S333" s="7">
        <v>41.683675479438911</v>
      </c>
      <c r="T333" s="8" t="s">
        <v>909</v>
      </c>
    </row>
    <row r="334" spans="1:20">
      <c r="A334" s="5" t="s">
        <v>680</v>
      </c>
      <c r="B334" s="5" t="s">
        <v>681</v>
      </c>
      <c r="C334" s="5" t="s">
        <v>18</v>
      </c>
      <c r="D334" s="5">
        <v>0</v>
      </c>
      <c r="E334" s="6" t="s">
        <v>266</v>
      </c>
      <c r="F334" s="10">
        <v>700</v>
      </c>
      <c r="G334" s="7">
        <v>6.4956119454564751</v>
      </c>
      <c r="H334" s="7">
        <v>7.6759435933941598</v>
      </c>
      <c r="I334" s="7">
        <v>8.4743221714885717</v>
      </c>
      <c r="J334" s="7">
        <v>9.4923571783967891</v>
      </c>
      <c r="K334" s="7">
        <v>10.27322029640999</v>
      </c>
      <c r="L334" s="7">
        <v>11.108396846612322</v>
      </c>
      <c r="M334" s="7">
        <v>4.7964724888027872</v>
      </c>
      <c r="N334" s="7">
        <v>7.8</v>
      </c>
      <c r="O334" s="7">
        <v>10.4</v>
      </c>
      <c r="P334" s="7">
        <f t="shared" si="5"/>
        <v>2.6000000000000005</v>
      </c>
      <c r="Q334" s="17">
        <v>58.316324520561089</v>
      </c>
      <c r="R334" s="14">
        <v>67</v>
      </c>
      <c r="S334" s="7">
        <v>8.6836754794389108</v>
      </c>
      <c r="T334" s="8" t="s">
        <v>909</v>
      </c>
    </row>
    <row r="335" spans="1:20">
      <c r="A335" s="5" t="s">
        <v>682</v>
      </c>
      <c r="B335" s="5" t="s">
        <v>683</v>
      </c>
      <c r="C335" s="5" t="s">
        <v>18</v>
      </c>
      <c r="D335" s="5">
        <v>3</v>
      </c>
      <c r="E335" s="6" t="s">
        <v>266</v>
      </c>
      <c r="F335" s="10">
        <v>700</v>
      </c>
      <c r="G335" s="7">
        <v>6.4956119454564751</v>
      </c>
      <c r="H335" s="7">
        <v>7.6759435933941598</v>
      </c>
      <c r="I335" s="7">
        <v>8.4743221714885717</v>
      </c>
      <c r="J335" s="7">
        <v>9.4923571783967891</v>
      </c>
      <c r="K335" s="7">
        <v>10.27322029640999</v>
      </c>
      <c r="L335" s="7">
        <v>11.108396846612322</v>
      </c>
      <c r="M335" s="7">
        <v>4.7964724888027872</v>
      </c>
      <c r="N335" s="7">
        <v>8.9</v>
      </c>
      <c r="O335" s="7">
        <v>5.2</v>
      </c>
      <c r="P335" s="7">
        <f t="shared" si="5"/>
        <v>-3.7</v>
      </c>
      <c r="Q335" s="17">
        <v>58.316324520561089</v>
      </c>
      <c r="R335" s="14">
        <v>32</v>
      </c>
      <c r="S335" s="7">
        <v>-26.316324520561089</v>
      </c>
      <c r="T335" s="8" t="s">
        <v>910</v>
      </c>
    </row>
    <row r="336" spans="1:20">
      <c r="A336" s="5" t="s">
        <v>684</v>
      </c>
      <c r="B336" s="5" t="s">
        <v>685</v>
      </c>
      <c r="C336" s="5" t="s">
        <v>18</v>
      </c>
      <c r="D336" s="5">
        <v>4</v>
      </c>
      <c r="E336" s="6" t="s">
        <v>266</v>
      </c>
      <c r="F336" s="10">
        <v>700</v>
      </c>
      <c r="G336" s="7">
        <v>6.340954518183703</v>
      </c>
      <c r="H336" s="7">
        <v>7.493183031646681</v>
      </c>
      <c r="I336" s="7">
        <v>8.2725525959769399</v>
      </c>
      <c r="J336" s="7">
        <v>9.2663486741492473</v>
      </c>
      <c r="K336" s="7">
        <v>10.028619813162134</v>
      </c>
      <c r="L336" s="7">
        <v>10.843911207407269</v>
      </c>
      <c r="M336" s="7">
        <v>4.6822707628789129</v>
      </c>
      <c r="N336" s="7">
        <v>7.2</v>
      </c>
      <c r="O336" s="7">
        <v>4.4000000000000004</v>
      </c>
      <c r="P336" s="7">
        <f t="shared" si="5"/>
        <v>-2.8</v>
      </c>
      <c r="Q336" s="17">
        <v>56.927840603404881</v>
      </c>
      <c r="R336" s="14">
        <v>44</v>
      </c>
      <c r="S336" s="7">
        <v>-12.927840603404881</v>
      </c>
      <c r="T336" s="8" t="s">
        <v>910</v>
      </c>
    </row>
    <row r="337" spans="1:20">
      <c r="A337" s="5" t="s">
        <v>686</v>
      </c>
      <c r="B337" s="5" t="s">
        <v>687</v>
      </c>
      <c r="C337" s="5" t="s">
        <v>18</v>
      </c>
      <c r="D337" s="5">
        <v>3</v>
      </c>
      <c r="E337" s="6" t="s">
        <v>266</v>
      </c>
      <c r="F337" s="10">
        <v>700</v>
      </c>
      <c r="G337" s="7">
        <v>6.340954518183703</v>
      </c>
      <c r="H337" s="7">
        <v>7.493183031646681</v>
      </c>
      <c r="I337" s="7">
        <v>8.2725525959769399</v>
      </c>
      <c r="J337" s="7">
        <v>9.2663486741492473</v>
      </c>
      <c r="K337" s="7">
        <v>10.028619813162134</v>
      </c>
      <c r="L337" s="7">
        <v>10.843911207407269</v>
      </c>
      <c r="M337" s="7">
        <v>4.6822707628789129</v>
      </c>
      <c r="N337" s="7">
        <v>9.4</v>
      </c>
      <c r="O337" s="7">
        <v>10.199999999999999</v>
      </c>
      <c r="P337" s="7">
        <f t="shared" si="5"/>
        <v>0.79999999999999893</v>
      </c>
      <c r="Q337" s="17">
        <v>56.927840603404881</v>
      </c>
      <c r="R337" s="14">
        <v>83</v>
      </c>
      <c r="S337" s="7">
        <v>26.072159396595119</v>
      </c>
      <c r="T337" s="8" t="s">
        <v>909</v>
      </c>
    </row>
    <row r="338" spans="1:20">
      <c r="A338" s="5" t="s">
        <v>688</v>
      </c>
      <c r="B338" s="5" t="s">
        <v>689</v>
      </c>
      <c r="C338" s="5" t="s">
        <v>18</v>
      </c>
      <c r="D338" s="5">
        <v>2</v>
      </c>
      <c r="E338" s="6" t="s">
        <v>266</v>
      </c>
      <c r="F338" s="10">
        <v>700</v>
      </c>
      <c r="G338" s="7">
        <v>6.340954518183703</v>
      </c>
      <c r="H338" s="7">
        <v>7.493183031646681</v>
      </c>
      <c r="I338" s="7">
        <v>8.2725525959769399</v>
      </c>
      <c r="J338" s="7">
        <v>9.2663486741492473</v>
      </c>
      <c r="K338" s="7">
        <v>10.028619813162134</v>
      </c>
      <c r="L338" s="7">
        <v>10.843911207407269</v>
      </c>
      <c r="M338" s="7">
        <v>4.6822707628789129</v>
      </c>
      <c r="N338" s="7">
        <v>6.3</v>
      </c>
      <c r="O338" s="7">
        <v>6.2</v>
      </c>
      <c r="P338" s="7">
        <f t="shared" si="5"/>
        <v>-9.9999999999999645E-2</v>
      </c>
      <c r="Q338" s="17">
        <v>56.927840603404881</v>
      </c>
      <c r="R338" s="14">
        <v>46</v>
      </c>
      <c r="S338" s="7">
        <v>-10.927840603404881</v>
      </c>
      <c r="T338" s="8" t="s">
        <v>910</v>
      </c>
    </row>
    <row r="339" spans="1:20">
      <c r="A339" s="5" t="s">
        <v>690</v>
      </c>
      <c r="B339" s="5" t="s">
        <v>691</v>
      </c>
      <c r="C339" s="5" t="s">
        <v>18</v>
      </c>
      <c r="D339" s="5">
        <v>3</v>
      </c>
      <c r="E339" s="6" t="s">
        <v>266</v>
      </c>
      <c r="F339" s="10">
        <v>700</v>
      </c>
      <c r="G339" s="7">
        <v>6.340954518183703</v>
      </c>
      <c r="H339" s="7">
        <v>7.493183031646681</v>
      </c>
      <c r="I339" s="7">
        <v>8.2725525959769399</v>
      </c>
      <c r="J339" s="7">
        <v>9.2663486741492473</v>
      </c>
      <c r="K339" s="7">
        <v>10.028619813162134</v>
      </c>
      <c r="L339" s="7">
        <v>10.843911207407269</v>
      </c>
      <c r="M339" s="7">
        <v>4.6822707628789129</v>
      </c>
      <c r="N339" s="7">
        <v>5</v>
      </c>
      <c r="O339" s="7">
        <v>6</v>
      </c>
      <c r="P339" s="7">
        <f t="shared" si="5"/>
        <v>1</v>
      </c>
      <c r="Q339" s="17">
        <v>56.927840603404881</v>
      </c>
      <c r="R339" s="14">
        <v>38</v>
      </c>
      <c r="S339" s="7">
        <v>-18.927840603404881</v>
      </c>
      <c r="T339" s="8" t="s">
        <v>910</v>
      </c>
    </row>
    <row r="340" spans="1:20">
      <c r="A340" s="5" t="s">
        <v>692</v>
      </c>
      <c r="B340" s="5" t="s">
        <v>693</v>
      </c>
      <c r="C340" s="5" t="s">
        <v>67</v>
      </c>
      <c r="D340" s="5">
        <v>1</v>
      </c>
      <c r="E340" s="6" t="s">
        <v>266</v>
      </c>
      <c r="F340" s="10">
        <v>700</v>
      </c>
      <c r="G340" s="7">
        <v>6.340954518183703</v>
      </c>
      <c r="H340" s="7">
        <v>7.493183031646681</v>
      </c>
      <c r="I340" s="7">
        <v>8.2725525959769399</v>
      </c>
      <c r="J340" s="7">
        <v>9.2663486741492473</v>
      </c>
      <c r="K340" s="7">
        <v>10.028619813162134</v>
      </c>
      <c r="L340" s="7">
        <v>10.843911207407269</v>
      </c>
      <c r="M340" s="7">
        <v>4.6822707628789129</v>
      </c>
      <c r="N340" s="7">
        <v>4.9000000000000004</v>
      </c>
      <c r="O340" s="7">
        <v>7</v>
      </c>
      <c r="P340" s="7">
        <f t="shared" si="5"/>
        <v>2.0999999999999996</v>
      </c>
      <c r="Q340" s="17">
        <v>56.927840603404881</v>
      </c>
      <c r="R340" s="14">
        <v>59</v>
      </c>
      <c r="S340" s="7">
        <v>2.0721593965951186</v>
      </c>
      <c r="T340" s="8" t="s">
        <v>909</v>
      </c>
    </row>
    <row r="341" spans="1:20">
      <c r="A341" s="5" t="s">
        <v>694</v>
      </c>
      <c r="B341" s="5" t="s">
        <v>695</v>
      </c>
      <c r="C341" s="5" t="s">
        <v>18</v>
      </c>
      <c r="D341" s="5">
        <v>3</v>
      </c>
      <c r="E341" s="6" t="s">
        <v>266</v>
      </c>
      <c r="F341" s="10">
        <v>700</v>
      </c>
      <c r="G341" s="7">
        <v>6.340954518183703</v>
      </c>
      <c r="H341" s="7">
        <v>7.493183031646681</v>
      </c>
      <c r="I341" s="7">
        <v>8.2725525959769399</v>
      </c>
      <c r="J341" s="7">
        <v>9.2663486741492473</v>
      </c>
      <c r="K341" s="7">
        <v>10.028619813162134</v>
      </c>
      <c r="L341" s="7">
        <v>10.843911207407269</v>
      </c>
      <c r="M341" s="7">
        <v>4.6822707628789129</v>
      </c>
      <c r="N341" s="7">
        <v>5.0999999999999996</v>
      </c>
      <c r="O341" s="7">
        <v>2.8</v>
      </c>
      <c r="P341" s="7">
        <f t="shared" si="5"/>
        <v>-2.2999999999999998</v>
      </c>
      <c r="Q341" s="17">
        <v>56.927840603404881</v>
      </c>
      <c r="R341" s="14">
        <v>29</v>
      </c>
      <c r="S341" s="7">
        <v>-27.927840603404881</v>
      </c>
      <c r="T341" s="8" t="s">
        <v>910</v>
      </c>
    </row>
    <row r="342" spans="1:20">
      <c r="A342" s="5" t="s">
        <v>696</v>
      </c>
      <c r="B342" s="5" t="s">
        <v>697</v>
      </c>
      <c r="C342" s="5" t="s">
        <v>67</v>
      </c>
      <c r="D342" s="5">
        <v>2</v>
      </c>
      <c r="E342" s="6" t="s">
        <v>266</v>
      </c>
      <c r="F342" s="10">
        <v>700</v>
      </c>
      <c r="G342" s="7">
        <v>6.340954518183703</v>
      </c>
      <c r="H342" s="7">
        <v>7.493183031646681</v>
      </c>
      <c r="I342" s="7">
        <v>8.2725525959769399</v>
      </c>
      <c r="J342" s="7">
        <v>9.2663486741492473</v>
      </c>
      <c r="K342" s="7">
        <v>10.028619813162134</v>
      </c>
      <c r="L342" s="7">
        <v>10.843911207407269</v>
      </c>
      <c r="M342" s="7">
        <v>4.6822707628789129</v>
      </c>
      <c r="N342" s="7">
        <v>6.3</v>
      </c>
      <c r="O342" s="7">
        <v>4</v>
      </c>
      <c r="P342" s="7">
        <f t="shared" si="5"/>
        <v>-2.2999999999999998</v>
      </c>
      <c r="Q342" s="17">
        <v>56.927840603404881</v>
      </c>
      <c r="R342" s="14">
        <v>31</v>
      </c>
      <c r="S342" s="7">
        <v>-25.927840603404881</v>
      </c>
      <c r="T342" s="8" t="s">
        <v>910</v>
      </c>
    </row>
    <row r="343" spans="1:20">
      <c r="A343" s="5" t="s">
        <v>698</v>
      </c>
      <c r="B343" s="5" t="s">
        <v>699</v>
      </c>
      <c r="C343" s="5" t="s">
        <v>18</v>
      </c>
      <c r="D343" s="5">
        <v>2</v>
      </c>
      <c r="E343" s="6" t="s">
        <v>266</v>
      </c>
      <c r="F343" s="10">
        <v>700</v>
      </c>
      <c r="G343" s="7">
        <v>6.340954518183703</v>
      </c>
      <c r="H343" s="7">
        <v>7.493183031646681</v>
      </c>
      <c r="I343" s="7">
        <v>8.2725525959769399</v>
      </c>
      <c r="J343" s="7">
        <v>9.2663486741492473</v>
      </c>
      <c r="K343" s="7">
        <v>10.028619813162134</v>
      </c>
      <c r="L343" s="7">
        <v>10.843911207407269</v>
      </c>
      <c r="M343" s="7">
        <v>4.6822707628789129</v>
      </c>
      <c r="N343" s="7">
        <v>5.4</v>
      </c>
      <c r="O343" s="7">
        <v>4.8</v>
      </c>
      <c r="P343" s="7">
        <f t="shared" si="5"/>
        <v>-0.60000000000000053</v>
      </c>
      <c r="Q343" s="17">
        <v>56.927840603404881</v>
      </c>
      <c r="R343" s="14">
        <v>43</v>
      </c>
      <c r="S343" s="7">
        <v>-13.927840603404881</v>
      </c>
      <c r="T343" s="8" t="s">
        <v>910</v>
      </c>
    </row>
    <row r="344" spans="1:20">
      <c r="A344" s="5" t="s">
        <v>700</v>
      </c>
      <c r="B344" s="5" t="s">
        <v>701</v>
      </c>
      <c r="C344" s="5" t="s">
        <v>18</v>
      </c>
      <c r="D344" s="5">
        <v>3</v>
      </c>
      <c r="E344" s="6" t="s">
        <v>266</v>
      </c>
      <c r="F344" s="10">
        <v>700</v>
      </c>
      <c r="G344" s="7">
        <v>6.1862970909109292</v>
      </c>
      <c r="H344" s="7">
        <v>7.3104224698992004</v>
      </c>
      <c r="I344" s="7">
        <v>8.0707830204653064</v>
      </c>
      <c r="J344" s="7">
        <v>9.0403401699017039</v>
      </c>
      <c r="K344" s="7">
        <v>9.7840193299142779</v>
      </c>
      <c r="L344" s="7">
        <v>10.579425568202213</v>
      </c>
      <c r="M344" s="7">
        <v>4.5680690369550359</v>
      </c>
      <c r="N344" s="7">
        <v>9.1</v>
      </c>
      <c r="O344" s="7">
        <v>10.8</v>
      </c>
      <c r="P344" s="7">
        <f t="shared" si="5"/>
        <v>1.7000000000000011</v>
      </c>
      <c r="Q344" s="17">
        <v>55.539356686248667</v>
      </c>
      <c r="R344" s="14">
        <v>88</v>
      </c>
      <c r="S344" s="7">
        <v>32.460643313751333</v>
      </c>
      <c r="T344" s="8" t="s">
        <v>909</v>
      </c>
    </row>
    <row r="345" spans="1:20">
      <c r="A345" s="5" t="s">
        <v>702</v>
      </c>
      <c r="B345" s="5" t="s">
        <v>703</v>
      </c>
      <c r="C345" s="5" t="s">
        <v>18</v>
      </c>
      <c r="D345" s="5">
        <v>3</v>
      </c>
      <c r="E345" s="6" t="s">
        <v>266</v>
      </c>
      <c r="F345" s="10">
        <v>700</v>
      </c>
      <c r="G345" s="7">
        <v>6.1862970909109292</v>
      </c>
      <c r="H345" s="7">
        <v>7.3104224698992004</v>
      </c>
      <c r="I345" s="7">
        <v>8.0707830204653064</v>
      </c>
      <c r="J345" s="7">
        <v>9.0403401699017039</v>
      </c>
      <c r="K345" s="7">
        <v>9.7840193299142779</v>
      </c>
      <c r="L345" s="7">
        <v>10.579425568202213</v>
      </c>
      <c r="M345" s="7">
        <v>4.5680690369550359</v>
      </c>
      <c r="N345" s="7">
        <v>6.8</v>
      </c>
      <c r="O345" s="7">
        <v>6.8</v>
      </c>
      <c r="P345" s="7">
        <f t="shared" si="5"/>
        <v>0</v>
      </c>
      <c r="Q345" s="17">
        <v>55.539356686248667</v>
      </c>
      <c r="R345" s="14">
        <v>52</v>
      </c>
      <c r="S345" s="7">
        <v>-3.5393566862486665</v>
      </c>
      <c r="T345" s="8" t="s">
        <v>910</v>
      </c>
    </row>
    <row r="346" spans="1:20">
      <c r="A346" s="5" t="s">
        <v>704</v>
      </c>
      <c r="B346" s="5" t="s">
        <v>705</v>
      </c>
      <c r="C346" s="5" t="s">
        <v>18</v>
      </c>
      <c r="D346" s="5">
        <v>4</v>
      </c>
      <c r="E346" s="6" t="s">
        <v>266</v>
      </c>
      <c r="F346" s="10">
        <v>700</v>
      </c>
      <c r="G346" s="7">
        <v>6.1862970909109292</v>
      </c>
      <c r="H346" s="7">
        <v>7.3104224698992004</v>
      </c>
      <c r="I346" s="7">
        <v>8.0707830204653064</v>
      </c>
      <c r="J346" s="7">
        <v>9.0403401699017039</v>
      </c>
      <c r="K346" s="7">
        <v>9.7840193299142779</v>
      </c>
      <c r="L346" s="7">
        <v>10.579425568202213</v>
      </c>
      <c r="M346" s="7">
        <v>4.5680690369550359</v>
      </c>
      <c r="N346" s="7">
        <v>8.3000000000000007</v>
      </c>
      <c r="O346" s="7">
        <v>4</v>
      </c>
      <c r="P346" s="7">
        <f t="shared" si="5"/>
        <v>-4.3000000000000007</v>
      </c>
      <c r="Q346" s="17">
        <v>55.539356686248667</v>
      </c>
      <c r="R346" s="14">
        <v>42</v>
      </c>
      <c r="S346" s="7">
        <v>-13.539356686248667</v>
      </c>
      <c r="T346" s="8" t="s">
        <v>910</v>
      </c>
    </row>
    <row r="347" spans="1:20">
      <c r="A347" s="5" t="s">
        <v>706</v>
      </c>
      <c r="B347" s="5" t="s">
        <v>707</v>
      </c>
      <c r="C347" s="5" t="s">
        <v>18</v>
      </c>
      <c r="D347" s="5">
        <v>1</v>
      </c>
      <c r="E347" s="6" t="s">
        <v>266</v>
      </c>
      <c r="F347" s="10">
        <v>700</v>
      </c>
      <c r="G347" s="7">
        <v>6.1862970909109292</v>
      </c>
      <c r="H347" s="7">
        <v>7.3104224698992004</v>
      </c>
      <c r="I347" s="7">
        <v>8.0707830204653064</v>
      </c>
      <c r="J347" s="7">
        <v>9.0403401699017039</v>
      </c>
      <c r="K347" s="7">
        <v>9.7840193299142779</v>
      </c>
      <c r="L347" s="7">
        <v>10.579425568202213</v>
      </c>
      <c r="M347" s="7">
        <v>4.5680690369550359</v>
      </c>
      <c r="N347" s="7">
        <v>9.6999999999999993</v>
      </c>
      <c r="O347" s="7">
        <v>9</v>
      </c>
      <c r="P347" s="7">
        <f t="shared" si="5"/>
        <v>-0.69999999999999929</v>
      </c>
      <c r="Q347" s="17">
        <v>55.539356686248667</v>
      </c>
      <c r="R347" s="14">
        <v>64</v>
      </c>
      <c r="S347" s="7">
        <v>8.4606433137513335</v>
      </c>
      <c r="T347" s="8" t="s">
        <v>909</v>
      </c>
    </row>
    <row r="348" spans="1:20">
      <c r="A348" s="5" t="s">
        <v>708</v>
      </c>
      <c r="B348" s="5" t="s">
        <v>709</v>
      </c>
      <c r="C348" s="5" t="s">
        <v>18</v>
      </c>
      <c r="D348" s="5">
        <v>4</v>
      </c>
      <c r="E348" s="6" t="s">
        <v>266</v>
      </c>
      <c r="F348" s="10">
        <v>700</v>
      </c>
      <c r="G348" s="7">
        <v>6.1862970909109292</v>
      </c>
      <c r="H348" s="7">
        <v>7.3104224698992004</v>
      </c>
      <c r="I348" s="7">
        <v>8.0707830204653064</v>
      </c>
      <c r="J348" s="7">
        <v>9.0403401699017039</v>
      </c>
      <c r="K348" s="7">
        <v>9.7840193299142779</v>
      </c>
      <c r="L348" s="7">
        <v>10.579425568202213</v>
      </c>
      <c r="M348" s="7">
        <v>4.5680690369550359</v>
      </c>
      <c r="N348" s="7">
        <v>9.6999999999999993</v>
      </c>
      <c r="O348" s="7">
        <v>6.8</v>
      </c>
      <c r="P348" s="7">
        <f t="shared" si="5"/>
        <v>-2.8999999999999995</v>
      </c>
      <c r="Q348" s="17">
        <v>55.539356686248667</v>
      </c>
      <c r="R348" s="14">
        <v>47</v>
      </c>
      <c r="S348" s="7">
        <v>-8.5393566862486665</v>
      </c>
      <c r="T348" s="8" t="s">
        <v>910</v>
      </c>
    </row>
    <row r="349" spans="1:20">
      <c r="A349" s="5" t="s">
        <v>710</v>
      </c>
      <c r="B349" s="5" t="s">
        <v>711</v>
      </c>
      <c r="C349" s="5" t="s">
        <v>18</v>
      </c>
      <c r="D349" s="5">
        <v>3</v>
      </c>
      <c r="E349" s="6" t="s">
        <v>266</v>
      </c>
      <c r="F349" s="10">
        <v>700</v>
      </c>
      <c r="G349" s="7">
        <v>6.1862970909109292</v>
      </c>
      <c r="H349" s="7">
        <v>7.3104224698992004</v>
      </c>
      <c r="I349" s="7">
        <v>8.0707830204653064</v>
      </c>
      <c r="J349" s="7">
        <v>9.0403401699017039</v>
      </c>
      <c r="K349" s="7">
        <v>9.7840193299142779</v>
      </c>
      <c r="L349" s="7">
        <v>10.579425568202213</v>
      </c>
      <c r="M349" s="7">
        <v>4.5680690369550359</v>
      </c>
      <c r="N349" s="7">
        <v>7.4</v>
      </c>
      <c r="O349" s="7">
        <v>6.8</v>
      </c>
      <c r="P349" s="7">
        <f t="shared" si="5"/>
        <v>-0.60000000000000053</v>
      </c>
      <c r="Q349" s="17">
        <v>55.539356686248667</v>
      </c>
      <c r="R349" s="14">
        <v>44</v>
      </c>
      <c r="S349" s="7">
        <v>-11.539356686248667</v>
      </c>
      <c r="T349" s="8" t="s">
        <v>910</v>
      </c>
    </row>
    <row r="350" spans="1:20">
      <c r="A350" s="5" t="s">
        <v>712</v>
      </c>
      <c r="B350" s="5" t="s">
        <v>713</v>
      </c>
      <c r="C350" s="5" t="s">
        <v>18</v>
      </c>
      <c r="D350" s="5">
        <v>1</v>
      </c>
      <c r="E350" s="1" t="s">
        <v>714</v>
      </c>
      <c r="F350" s="10">
        <v>600</v>
      </c>
      <c r="G350" s="7">
        <v>6.0316396636381562</v>
      </c>
      <c r="H350" s="7">
        <v>7.1276619081517198</v>
      </c>
      <c r="I350" s="7">
        <v>7.8690134449536746</v>
      </c>
      <c r="J350" s="7">
        <v>8.8143316656541622</v>
      </c>
      <c r="K350" s="7">
        <v>9.53941884666642</v>
      </c>
      <c r="L350" s="7">
        <v>10.314939928997157</v>
      </c>
      <c r="M350" s="7">
        <v>4.4538673110311588</v>
      </c>
      <c r="N350" s="7">
        <v>9.5</v>
      </c>
      <c r="O350" s="7">
        <v>12.2</v>
      </c>
      <c r="P350" s="7">
        <f t="shared" si="5"/>
        <v>2.6999999999999993</v>
      </c>
      <c r="Q350" s="17">
        <v>54.150872769092445</v>
      </c>
      <c r="R350" s="14">
        <v>84</v>
      </c>
      <c r="S350" s="7">
        <v>29.849127230907555</v>
      </c>
      <c r="T350" s="8" t="s">
        <v>909</v>
      </c>
    </row>
    <row r="351" spans="1:20">
      <c r="A351" s="5" t="s">
        <v>715</v>
      </c>
      <c r="B351" s="5" t="s">
        <v>716</v>
      </c>
      <c r="C351" s="5" t="s">
        <v>67</v>
      </c>
      <c r="D351" s="5">
        <v>2</v>
      </c>
      <c r="E351" s="1" t="s">
        <v>714</v>
      </c>
      <c r="F351" s="10">
        <v>600</v>
      </c>
      <c r="G351" s="7">
        <v>6.0316396636381562</v>
      </c>
      <c r="H351" s="7">
        <v>7.1276619081517198</v>
      </c>
      <c r="I351" s="7">
        <v>7.8690134449536746</v>
      </c>
      <c r="J351" s="7">
        <v>8.8143316656541622</v>
      </c>
      <c r="K351" s="7">
        <v>9.53941884666642</v>
      </c>
      <c r="L351" s="7">
        <v>10.314939928997157</v>
      </c>
      <c r="M351" s="7">
        <v>4.4538673110311588</v>
      </c>
      <c r="N351" s="7">
        <v>6.6</v>
      </c>
      <c r="O351" s="7">
        <v>8.6</v>
      </c>
      <c r="P351" s="7">
        <f t="shared" si="5"/>
        <v>2</v>
      </c>
      <c r="Q351" s="17">
        <v>54.150872769092445</v>
      </c>
      <c r="R351" s="14">
        <v>63</v>
      </c>
      <c r="S351" s="7">
        <v>8.8491272309075555</v>
      </c>
      <c r="T351" s="8" t="s">
        <v>909</v>
      </c>
    </row>
    <row r="352" spans="1:20">
      <c r="A352" s="5" t="s">
        <v>717</v>
      </c>
      <c r="B352" s="5" t="s">
        <v>718</v>
      </c>
      <c r="C352" s="5" t="s">
        <v>67</v>
      </c>
      <c r="D352" s="5">
        <v>2</v>
      </c>
      <c r="E352" s="1" t="s">
        <v>714</v>
      </c>
      <c r="F352" s="10">
        <v>600</v>
      </c>
      <c r="G352" s="7">
        <v>6.0316396636381562</v>
      </c>
      <c r="H352" s="7">
        <v>7.1276619081517198</v>
      </c>
      <c r="I352" s="7">
        <v>7.8690134449536746</v>
      </c>
      <c r="J352" s="7">
        <v>8.8143316656541622</v>
      </c>
      <c r="K352" s="7">
        <v>9.53941884666642</v>
      </c>
      <c r="L352" s="7">
        <v>10.314939928997157</v>
      </c>
      <c r="M352" s="7">
        <v>4.4538673110311588</v>
      </c>
      <c r="N352" s="7">
        <v>6.9</v>
      </c>
      <c r="O352" s="7">
        <v>4.8</v>
      </c>
      <c r="P352" s="7">
        <f t="shared" si="5"/>
        <v>-2.1000000000000005</v>
      </c>
      <c r="Q352" s="17">
        <v>54.150872769092445</v>
      </c>
      <c r="R352" s="14">
        <v>36</v>
      </c>
      <c r="S352" s="7">
        <v>-18.150872769092445</v>
      </c>
      <c r="T352" s="8" t="s">
        <v>910</v>
      </c>
    </row>
    <row r="353" spans="1:20">
      <c r="A353" s="5" t="s">
        <v>719</v>
      </c>
      <c r="B353" s="5" t="s">
        <v>720</v>
      </c>
      <c r="C353" s="5" t="s">
        <v>18</v>
      </c>
      <c r="D353" s="5">
        <v>4</v>
      </c>
      <c r="E353" s="1" t="s">
        <v>714</v>
      </c>
      <c r="F353" s="10">
        <v>600</v>
      </c>
      <c r="G353" s="7">
        <v>6.0316396636381562</v>
      </c>
      <c r="H353" s="7">
        <v>7.1276619081517198</v>
      </c>
      <c r="I353" s="7">
        <v>7.8690134449536746</v>
      </c>
      <c r="J353" s="7">
        <v>8.8143316656541622</v>
      </c>
      <c r="K353" s="7">
        <v>9.53941884666642</v>
      </c>
      <c r="L353" s="7">
        <v>10.314939928997157</v>
      </c>
      <c r="M353" s="7">
        <v>4.4538673110311588</v>
      </c>
      <c r="N353" s="7">
        <v>8.6</v>
      </c>
      <c r="O353" s="7">
        <v>8</v>
      </c>
      <c r="P353" s="7">
        <f t="shared" si="5"/>
        <v>-0.59999999999999964</v>
      </c>
      <c r="Q353" s="17">
        <v>54.150872769092445</v>
      </c>
      <c r="R353" s="14">
        <v>62</v>
      </c>
      <c r="S353" s="7">
        <v>7.8491272309075555</v>
      </c>
      <c r="T353" s="8" t="s">
        <v>909</v>
      </c>
    </row>
    <row r="354" spans="1:20">
      <c r="A354" s="5" t="s">
        <v>721</v>
      </c>
      <c r="B354" s="5" t="s">
        <v>722</v>
      </c>
      <c r="C354" s="5" t="s">
        <v>18</v>
      </c>
      <c r="D354" s="5">
        <v>3</v>
      </c>
      <c r="E354" s="1" t="s">
        <v>714</v>
      </c>
      <c r="F354" s="10">
        <v>600</v>
      </c>
      <c r="G354" s="7">
        <v>5.8769822363653823</v>
      </c>
      <c r="H354" s="7">
        <v>6.9449013464042402</v>
      </c>
      <c r="I354" s="7">
        <v>7.6672438694420411</v>
      </c>
      <c r="J354" s="7">
        <v>8.5883231614066204</v>
      </c>
      <c r="K354" s="7">
        <v>9.2948183634185639</v>
      </c>
      <c r="L354" s="7">
        <v>10.0504542897921</v>
      </c>
      <c r="M354" s="7">
        <v>4.3396655851072845</v>
      </c>
      <c r="N354" s="7">
        <v>5.4</v>
      </c>
      <c r="O354" s="7">
        <v>5.6</v>
      </c>
      <c r="P354" s="7">
        <f t="shared" si="5"/>
        <v>0.19999999999999929</v>
      </c>
      <c r="Q354" s="17">
        <v>52.76238885193623</v>
      </c>
      <c r="R354" s="14">
        <v>42</v>
      </c>
      <c r="S354" s="7">
        <v>-10.76238885193623</v>
      </c>
      <c r="T354" s="8" t="s">
        <v>910</v>
      </c>
    </row>
    <row r="355" spans="1:20">
      <c r="A355" s="5" t="s">
        <v>723</v>
      </c>
      <c r="B355" s="5" t="s">
        <v>724</v>
      </c>
      <c r="C355" s="5" t="s">
        <v>67</v>
      </c>
      <c r="D355" s="5">
        <v>2</v>
      </c>
      <c r="E355" s="1" t="s">
        <v>714</v>
      </c>
      <c r="F355" s="10">
        <v>600</v>
      </c>
      <c r="G355" s="7">
        <v>5.8769822363653823</v>
      </c>
      <c r="H355" s="7">
        <v>6.9449013464042402</v>
      </c>
      <c r="I355" s="7">
        <v>7.6672438694420411</v>
      </c>
      <c r="J355" s="7">
        <v>8.5883231614066204</v>
      </c>
      <c r="K355" s="7">
        <v>9.2948183634185639</v>
      </c>
      <c r="L355" s="7">
        <v>10.0504542897921</v>
      </c>
      <c r="M355" s="7">
        <v>4.3396655851072845</v>
      </c>
      <c r="N355" s="7">
        <v>4</v>
      </c>
      <c r="O355" s="7">
        <v>6.2</v>
      </c>
      <c r="P355" s="7">
        <f t="shared" si="5"/>
        <v>2.2000000000000002</v>
      </c>
      <c r="Q355" s="17">
        <v>52.76238885193623</v>
      </c>
      <c r="R355" s="14">
        <v>44</v>
      </c>
      <c r="S355" s="7">
        <v>-8.7623888519362296</v>
      </c>
      <c r="T355" s="8" t="s">
        <v>910</v>
      </c>
    </row>
    <row r="356" spans="1:20">
      <c r="A356" s="5" t="s">
        <v>725</v>
      </c>
      <c r="B356" s="5" t="s">
        <v>726</v>
      </c>
      <c r="C356" s="5" t="s">
        <v>18</v>
      </c>
      <c r="D356" s="5">
        <v>3</v>
      </c>
      <c r="E356" s="1" t="s">
        <v>714</v>
      </c>
      <c r="F356" s="10">
        <v>600</v>
      </c>
      <c r="G356" s="7">
        <v>5.8769822363653823</v>
      </c>
      <c r="H356" s="7">
        <v>6.9449013464042402</v>
      </c>
      <c r="I356" s="7">
        <v>7.6672438694420411</v>
      </c>
      <c r="J356" s="7">
        <v>8.5883231614066204</v>
      </c>
      <c r="K356" s="7">
        <v>9.2948183634185639</v>
      </c>
      <c r="L356" s="7">
        <v>10.0504542897921</v>
      </c>
      <c r="M356" s="7">
        <v>4.3396655851072845</v>
      </c>
      <c r="N356" s="7">
        <v>5.3</v>
      </c>
      <c r="O356" s="7">
        <v>6.6</v>
      </c>
      <c r="P356" s="7">
        <f t="shared" si="5"/>
        <v>1.2999999999999998</v>
      </c>
      <c r="Q356" s="17">
        <v>52.76238885193623</v>
      </c>
      <c r="R356" s="14">
        <v>57</v>
      </c>
      <c r="S356" s="7">
        <v>4.2376111480637704</v>
      </c>
      <c r="T356" s="8" t="s">
        <v>909</v>
      </c>
    </row>
    <row r="357" spans="1:20">
      <c r="A357" s="5" t="s">
        <v>727</v>
      </c>
      <c r="B357" s="5" t="s">
        <v>728</v>
      </c>
      <c r="C357" s="5" t="s">
        <v>18</v>
      </c>
      <c r="D357" s="5">
        <v>3</v>
      </c>
      <c r="E357" s="1" t="s">
        <v>714</v>
      </c>
      <c r="F357" s="10">
        <v>600</v>
      </c>
      <c r="G357" s="7">
        <v>5.8769822363653823</v>
      </c>
      <c r="H357" s="7">
        <v>6.9449013464042402</v>
      </c>
      <c r="I357" s="7">
        <v>7.6672438694420411</v>
      </c>
      <c r="J357" s="7">
        <v>8.5883231614066204</v>
      </c>
      <c r="K357" s="7">
        <v>9.2948183634185639</v>
      </c>
      <c r="L357" s="7">
        <v>10.0504542897921</v>
      </c>
      <c r="M357" s="7">
        <v>4.3396655851072845</v>
      </c>
      <c r="N357" s="7">
        <v>6.6</v>
      </c>
      <c r="O357" s="7">
        <v>9.1999999999999993</v>
      </c>
      <c r="P357" s="7">
        <f t="shared" si="5"/>
        <v>2.5999999999999996</v>
      </c>
      <c r="Q357" s="17">
        <v>52.76238885193623</v>
      </c>
      <c r="R357" s="14">
        <v>64</v>
      </c>
      <c r="S357" s="7">
        <v>11.23761114806377</v>
      </c>
      <c r="T357" s="8" t="s">
        <v>909</v>
      </c>
    </row>
    <row r="358" spans="1:20">
      <c r="A358" s="5" t="s">
        <v>729</v>
      </c>
      <c r="B358" s="5" t="s">
        <v>730</v>
      </c>
      <c r="C358" s="5" t="s">
        <v>18</v>
      </c>
      <c r="D358" s="5">
        <v>1</v>
      </c>
      <c r="E358" s="1" t="s">
        <v>714</v>
      </c>
      <c r="F358" s="10">
        <v>600</v>
      </c>
      <c r="G358" s="7">
        <v>5.8769822363653823</v>
      </c>
      <c r="H358" s="7">
        <v>6.9449013464042402</v>
      </c>
      <c r="I358" s="7">
        <v>7.6672438694420411</v>
      </c>
      <c r="J358" s="7">
        <v>8.5883231614066204</v>
      </c>
      <c r="K358" s="7">
        <v>9.2948183634185639</v>
      </c>
      <c r="L358" s="7">
        <v>10.0504542897921</v>
      </c>
      <c r="M358" s="7">
        <v>4.3396655851072845</v>
      </c>
      <c r="N358" s="7">
        <v>7.4</v>
      </c>
      <c r="O358" s="7">
        <v>5.8</v>
      </c>
      <c r="P358" s="7">
        <f t="shared" si="5"/>
        <v>-1.6000000000000005</v>
      </c>
      <c r="Q358" s="17">
        <v>52.76238885193623</v>
      </c>
      <c r="R358" s="14">
        <v>49</v>
      </c>
      <c r="S358" s="7">
        <v>-3.7623888519362296</v>
      </c>
      <c r="T358" s="8" t="s">
        <v>910</v>
      </c>
    </row>
    <row r="359" spans="1:20">
      <c r="A359" s="5" t="s">
        <v>731</v>
      </c>
      <c r="B359" s="5" t="s">
        <v>732</v>
      </c>
      <c r="C359" s="5" t="s">
        <v>67</v>
      </c>
      <c r="D359" s="5">
        <v>1</v>
      </c>
      <c r="E359" s="1" t="s">
        <v>714</v>
      </c>
      <c r="F359" s="10">
        <v>600</v>
      </c>
      <c r="G359" s="7">
        <v>5.8769822363653823</v>
      </c>
      <c r="H359" s="7">
        <v>6.9449013464042402</v>
      </c>
      <c r="I359" s="7">
        <v>7.6672438694420411</v>
      </c>
      <c r="J359" s="7">
        <v>8.5883231614066204</v>
      </c>
      <c r="K359" s="7">
        <v>9.2948183634185639</v>
      </c>
      <c r="L359" s="7">
        <v>10.0504542897921</v>
      </c>
      <c r="M359" s="7">
        <v>4.3396655851072845</v>
      </c>
      <c r="N359" s="7">
        <v>8.9</v>
      </c>
      <c r="O359" s="7">
        <v>8.1999999999999993</v>
      </c>
      <c r="P359" s="7">
        <f t="shared" si="5"/>
        <v>-0.70000000000000107</v>
      </c>
      <c r="Q359" s="17">
        <v>52.76238885193623</v>
      </c>
      <c r="R359" s="14">
        <v>56</v>
      </c>
      <c r="S359" s="7">
        <v>3.2376111480637704</v>
      </c>
      <c r="T359" s="8" t="s">
        <v>909</v>
      </c>
    </row>
    <row r="360" spans="1:20">
      <c r="A360" s="5" t="s">
        <v>733</v>
      </c>
      <c r="B360" s="5" t="s">
        <v>734</v>
      </c>
      <c r="C360" s="5" t="s">
        <v>18</v>
      </c>
      <c r="D360" s="5">
        <v>4</v>
      </c>
      <c r="E360" s="1" t="s">
        <v>714</v>
      </c>
      <c r="F360" s="10">
        <v>600</v>
      </c>
      <c r="G360" s="7">
        <v>5.7223248090926093</v>
      </c>
      <c r="H360" s="7">
        <v>6.7621407846567596</v>
      </c>
      <c r="I360" s="7">
        <v>7.4654742939304084</v>
      </c>
      <c r="J360" s="7">
        <v>8.362314657159077</v>
      </c>
      <c r="K360" s="7">
        <v>9.0502178801707061</v>
      </c>
      <c r="L360" s="7">
        <v>9.7859686505870442</v>
      </c>
      <c r="M360" s="7">
        <v>4.2254638591834075</v>
      </c>
      <c r="N360" s="7">
        <v>9.1</v>
      </c>
      <c r="O360" s="7">
        <v>9.4</v>
      </c>
      <c r="P360" s="7">
        <f t="shared" si="5"/>
        <v>0.30000000000000071</v>
      </c>
      <c r="Q360" s="17">
        <v>51.373904934780015</v>
      </c>
      <c r="R360" s="14">
        <v>69</v>
      </c>
      <c r="S360" s="7">
        <v>17.626095065219985</v>
      </c>
      <c r="T360" s="8" t="s">
        <v>909</v>
      </c>
    </row>
    <row r="361" spans="1:20">
      <c r="A361" s="5" t="s">
        <v>735</v>
      </c>
      <c r="B361" s="5" t="s">
        <v>736</v>
      </c>
      <c r="C361" s="5" t="s">
        <v>18</v>
      </c>
      <c r="D361" s="5">
        <v>3</v>
      </c>
      <c r="E361" s="1" t="s">
        <v>714</v>
      </c>
      <c r="F361" s="10">
        <v>600</v>
      </c>
      <c r="G361" s="7">
        <v>5.7223248090926093</v>
      </c>
      <c r="H361" s="7">
        <v>6.7621407846567596</v>
      </c>
      <c r="I361" s="7">
        <v>7.4654742939304084</v>
      </c>
      <c r="J361" s="7">
        <v>8.362314657159077</v>
      </c>
      <c r="K361" s="7">
        <v>9.0502178801707061</v>
      </c>
      <c r="L361" s="7">
        <v>9.7859686505870442</v>
      </c>
      <c r="M361" s="7">
        <v>4.2254638591834075</v>
      </c>
      <c r="N361" s="7">
        <v>7.9</v>
      </c>
      <c r="O361" s="7">
        <v>8.6</v>
      </c>
      <c r="P361" s="7">
        <f t="shared" si="5"/>
        <v>0.69999999999999929</v>
      </c>
      <c r="Q361" s="17">
        <v>51.373904934780015</v>
      </c>
      <c r="R361" s="14">
        <v>64</v>
      </c>
      <c r="S361" s="7">
        <v>12.626095065219985</v>
      </c>
      <c r="T361" s="8" t="s">
        <v>909</v>
      </c>
    </row>
    <row r="362" spans="1:20">
      <c r="A362" s="5" t="s">
        <v>737</v>
      </c>
      <c r="B362" s="5" t="s">
        <v>738</v>
      </c>
      <c r="C362" s="5" t="s">
        <v>18</v>
      </c>
      <c r="D362" s="5">
        <v>3</v>
      </c>
      <c r="E362" s="1" t="s">
        <v>714</v>
      </c>
      <c r="F362" s="10">
        <v>600</v>
      </c>
      <c r="G362" s="7">
        <v>5.7223248090926093</v>
      </c>
      <c r="H362" s="7">
        <v>6.7621407846567596</v>
      </c>
      <c r="I362" s="7">
        <v>7.4654742939304084</v>
      </c>
      <c r="J362" s="7">
        <v>8.362314657159077</v>
      </c>
      <c r="K362" s="7">
        <v>9.0502178801707061</v>
      </c>
      <c r="L362" s="7">
        <v>9.7859686505870442</v>
      </c>
      <c r="M362" s="7">
        <v>4.2254638591834075</v>
      </c>
      <c r="N362" s="7">
        <v>4.0999999999999996</v>
      </c>
      <c r="O362" s="7">
        <v>7.6</v>
      </c>
      <c r="P362" s="7">
        <f t="shared" si="5"/>
        <v>3.5</v>
      </c>
      <c r="Q362" s="17">
        <v>51.373904934780015</v>
      </c>
      <c r="R362" s="14">
        <v>54</v>
      </c>
      <c r="S362" s="7">
        <v>2.6260950652199853</v>
      </c>
      <c r="T362" s="8" t="s">
        <v>909</v>
      </c>
    </row>
    <row r="363" spans="1:20">
      <c r="A363" s="5" t="s">
        <v>739</v>
      </c>
      <c r="B363" s="5" t="s">
        <v>740</v>
      </c>
      <c r="C363" s="5" t="s">
        <v>18</v>
      </c>
      <c r="D363" s="5">
        <v>4</v>
      </c>
      <c r="E363" s="1" t="s">
        <v>714</v>
      </c>
      <c r="F363" s="10">
        <v>600</v>
      </c>
      <c r="G363" s="7">
        <v>5.7223248090926093</v>
      </c>
      <c r="H363" s="7">
        <v>6.7621407846567596</v>
      </c>
      <c r="I363" s="7">
        <v>7.4654742939304084</v>
      </c>
      <c r="J363" s="7">
        <v>8.362314657159077</v>
      </c>
      <c r="K363" s="7">
        <v>9.0502178801707061</v>
      </c>
      <c r="L363" s="7">
        <v>9.7859686505870442</v>
      </c>
      <c r="M363" s="7">
        <v>4.2254638591834075</v>
      </c>
      <c r="N363" s="7">
        <v>8.6</v>
      </c>
      <c r="O363" s="7">
        <v>9.4</v>
      </c>
      <c r="P363" s="7">
        <f t="shared" si="5"/>
        <v>0.80000000000000071</v>
      </c>
      <c r="Q363" s="17">
        <v>51.373904934780015</v>
      </c>
      <c r="R363" s="14">
        <v>64</v>
      </c>
      <c r="S363" s="7">
        <v>12.626095065219985</v>
      </c>
      <c r="T363" s="8" t="s">
        <v>909</v>
      </c>
    </row>
    <row r="364" spans="1:20">
      <c r="A364" s="5" t="s">
        <v>741</v>
      </c>
      <c r="B364" s="5" t="s">
        <v>742</v>
      </c>
      <c r="C364" s="5" t="s">
        <v>18</v>
      </c>
      <c r="D364" s="5">
        <v>3</v>
      </c>
      <c r="E364" s="1" t="s">
        <v>714</v>
      </c>
      <c r="F364" s="10">
        <v>600</v>
      </c>
      <c r="G364" s="7">
        <v>5.5676673818198363</v>
      </c>
      <c r="H364" s="7">
        <v>6.579380222909279</v>
      </c>
      <c r="I364" s="7">
        <v>7.2637047184187757</v>
      </c>
      <c r="J364" s="7">
        <v>8.1363061529115335</v>
      </c>
      <c r="K364" s="7">
        <v>8.8056173969228482</v>
      </c>
      <c r="L364" s="7">
        <v>9.5214830113819886</v>
      </c>
      <c r="M364" s="7">
        <v>4.1112621332595314</v>
      </c>
      <c r="N364" s="7">
        <v>5.8</v>
      </c>
      <c r="O364" s="7">
        <v>7.2</v>
      </c>
      <c r="P364" s="7">
        <f t="shared" si="5"/>
        <v>1.4000000000000004</v>
      </c>
      <c r="Q364" s="17">
        <v>49.985421017623793</v>
      </c>
      <c r="R364" s="14">
        <v>49</v>
      </c>
      <c r="S364" s="7">
        <v>-0.98542101762379275</v>
      </c>
      <c r="T364" s="8" t="s">
        <v>910</v>
      </c>
    </row>
    <row r="365" spans="1:20">
      <c r="A365" s="5" t="s">
        <v>743</v>
      </c>
      <c r="B365" s="5" t="s">
        <v>744</v>
      </c>
      <c r="C365" s="5" t="s">
        <v>18</v>
      </c>
      <c r="D365" s="5">
        <v>1</v>
      </c>
      <c r="E365" s="1" t="s">
        <v>714</v>
      </c>
      <c r="F365" s="10">
        <v>600</v>
      </c>
      <c r="G365" s="7">
        <v>5.5676673818198363</v>
      </c>
      <c r="H365" s="7">
        <v>6.579380222909279</v>
      </c>
      <c r="I365" s="7">
        <v>7.2637047184187757</v>
      </c>
      <c r="J365" s="7">
        <v>8.1363061529115335</v>
      </c>
      <c r="K365" s="7">
        <v>8.8056173969228482</v>
      </c>
      <c r="L365" s="7">
        <v>9.5214830113819886</v>
      </c>
      <c r="M365" s="7">
        <v>4.1112621332595314</v>
      </c>
      <c r="N365" s="7">
        <v>8.5</v>
      </c>
      <c r="O365" s="7">
        <v>9.4</v>
      </c>
      <c r="P365" s="7">
        <f t="shared" si="5"/>
        <v>0.90000000000000036</v>
      </c>
      <c r="Q365" s="17">
        <v>49.985421017623793</v>
      </c>
      <c r="R365" s="14">
        <v>58</v>
      </c>
      <c r="S365" s="7">
        <v>8.0145789823762073</v>
      </c>
      <c r="T365" s="8" t="s">
        <v>909</v>
      </c>
    </row>
    <row r="366" spans="1:20">
      <c r="A366" s="5" t="s">
        <v>745</v>
      </c>
      <c r="B366" s="5" t="s">
        <v>746</v>
      </c>
      <c r="C366" s="5" t="s">
        <v>18</v>
      </c>
      <c r="D366" s="5">
        <v>2</v>
      </c>
      <c r="E366" s="1" t="s">
        <v>714</v>
      </c>
      <c r="F366" s="10">
        <v>600</v>
      </c>
      <c r="G366" s="7">
        <v>5.5676673818198363</v>
      </c>
      <c r="H366" s="7">
        <v>6.579380222909279</v>
      </c>
      <c r="I366" s="7">
        <v>7.2637047184187757</v>
      </c>
      <c r="J366" s="7">
        <v>8.1363061529115335</v>
      </c>
      <c r="K366" s="7">
        <v>8.8056173969228482</v>
      </c>
      <c r="L366" s="7">
        <v>9.5214830113819886</v>
      </c>
      <c r="M366" s="7">
        <v>4.1112621332595314</v>
      </c>
      <c r="N366" s="7">
        <v>9.3000000000000007</v>
      </c>
      <c r="O366" s="7">
        <v>6.6</v>
      </c>
      <c r="P366" s="7">
        <f t="shared" si="5"/>
        <v>-2.7000000000000011</v>
      </c>
      <c r="Q366" s="17">
        <v>49.985421017623793</v>
      </c>
      <c r="R366" s="14">
        <v>41</v>
      </c>
      <c r="S366" s="7">
        <v>-8.9854210176237927</v>
      </c>
      <c r="T366" s="8" t="s">
        <v>910</v>
      </c>
    </row>
    <row r="367" spans="1:20">
      <c r="A367" s="5" t="s">
        <v>747</v>
      </c>
      <c r="B367" s="5" t="s">
        <v>748</v>
      </c>
      <c r="C367" s="5" t="s">
        <v>18</v>
      </c>
      <c r="D367" s="5">
        <v>4</v>
      </c>
      <c r="E367" s="1" t="s">
        <v>714</v>
      </c>
      <c r="F367" s="10">
        <v>600</v>
      </c>
      <c r="G367" s="7">
        <v>5.5676673818198363</v>
      </c>
      <c r="H367" s="7">
        <v>6.579380222909279</v>
      </c>
      <c r="I367" s="7">
        <v>7.2637047184187757</v>
      </c>
      <c r="J367" s="7">
        <v>8.1363061529115335</v>
      </c>
      <c r="K367" s="7">
        <v>8.8056173969228482</v>
      </c>
      <c r="L367" s="7">
        <v>9.5214830113819886</v>
      </c>
      <c r="M367" s="7">
        <v>4.1112621332595314</v>
      </c>
      <c r="N367" s="7">
        <v>9.5</v>
      </c>
      <c r="O367" s="7">
        <v>5.8</v>
      </c>
      <c r="P367" s="7">
        <f t="shared" si="5"/>
        <v>-3.7</v>
      </c>
      <c r="Q367" s="17">
        <v>49.985421017623793</v>
      </c>
      <c r="R367" s="14">
        <v>95</v>
      </c>
      <c r="S367" s="7">
        <v>45.014578982376207</v>
      </c>
      <c r="T367" s="8" t="s">
        <v>909</v>
      </c>
    </row>
    <row r="368" spans="1:20">
      <c r="A368" s="5" t="s">
        <v>749</v>
      </c>
      <c r="B368" s="5" t="s">
        <v>750</v>
      </c>
      <c r="C368" s="5" t="s">
        <v>18</v>
      </c>
      <c r="D368" s="5">
        <v>4</v>
      </c>
      <c r="E368" s="1" t="s">
        <v>714</v>
      </c>
      <c r="F368" s="10">
        <v>600</v>
      </c>
      <c r="G368" s="7">
        <v>5.5676673818198363</v>
      </c>
      <c r="H368" s="7">
        <v>6.579380222909279</v>
      </c>
      <c r="I368" s="7">
        <v>7.2637047184187757</v>
      </c>
      <c r="J368" s="7">
        <v>8.1363061529115335</v>
      </c>
      <c r="K368" s="7">
        <v>8.8056173969228482</v>
      </c>
      <c r="L368" s="7">
        <v>9.5214830113819886</v>
      </c>
      <c r="M368" s="7">
        <v>4.1112621332595314</v>
      </c>
      <c r="N368" s="7">
        <v>9.6</v>
      </c>
      <c r="O368" s="7">
        <v>6</v>
      </c>
      <c r="P368" s="7">
        <f t="shared" si="5"/>
        <v>-3.5999999999999996</v>
      </c>
      <c r="Q368" s="17">
        <v>49.985421017623793</v>
      </c>
      <c r="R368" s="14">
        <v>42</v>
      </c>
      <c r="S368" s="7">
        <v>-7.9854210176237927</v>
      </c>
      <c r="T368" s="8" t="s">
        <v>910</v>
      </c>
    </row>
    <row r="369" spans="1:20">
      <c r="A369" s="5" t="s">
        <v>751</v>
      </c>
      <c r="B369" s="5" t="s">
        <v>752</v>
      </c>
      <c r="C369" s="5" t="s">
        <v>67</v>
      </c>
      <c r="D369" s="5">
        <v>1</v>
      </c>
      <c r="E369" s="1" t="s">
        <v>714</v>
      </c>
      <c r="F369" s="10">
        <v>600</v>
      </c>
      <c r="G369" s="7">
        <v>5.5676673818198363</v>
      </c>
      <c r="H369" s="7">
        <v>6.579380222909279</v>
      </c>
      <c r="I369" s="7">
        <v>7.2637047184187757</v>
      </c>
      <c r="J369" s="7">
        <v>8.1363061529115335</v>
      </c>
      <c r="K369" s="7">
        <v>8.8056173969228482</v>
      </c>
      <c r="L369" s="7">
        <v>9.5214830113819886</v>
      </c>
      <c r="M369" s="7">
        <v>4.1112621332595314</v>
      </c>
      <c r="N369" s="7">
        <v>6</v>
      </c>
      <c r="O369" s="7">
        <v>6.6</v>
      </c>
      <c r="P369" s="7">
        <f t="shared" si="5"/>
        <v>0.59999999999999964</v>
      </c>
      <c r="Q369" s="17">
        <v>49.985421017623793</v>
      </c>
      <c r="R369" s="14">
        <v>51</v>
      </c>
      <c r="S369" s="7">
        <v>1.0145789823762073</v>
      </c>
      <c r="T369" s="8" t="s">
        <v>909</v>
      </c>
    </row>
    <row r="370" spans="1:20">
      <c r="A370" s="5" t="s">
        <v>753</v>
      </c>
      <c r="B370" s="5" t="s">
        <v>754</v>
      </c>
      <c r="C370" s="5" t="s">
        <v>661</v>
      </c>
      <c r="D370" s="5">
        <v>1</v>
      </c>
      <c r="E370" s="1" t="s">
        <v>714</v>
      </c>
      <c r="F370" s="10">
        <v>600</v>
      </c>
      <c r="G370" s="7">
        <v>5.4130099545470625</v>
      </c>
      <c r="H370" s="7">
        <v>6.3966196611617994</v>
      </c>
      <c r="I370" s="7">
        <v>7.0619351429071431</v>
      </c>
      <c r="J370" s="7">
        <v>7.9102976486639909</v>
      </c>
      <c r="K370" s="7">
        <v>8.5610169136749921</v>
      </c>
      <c r="L370" s="7">
        <v>9.2569973721769347</v>
      </c>
      <c r="M370" s="7">
        <v>3.9970604073356557</v>
      </c>
      <c r="N370" s="7">
        <v>6</v>
      </c>
      <c r="O370" s="7">
        <v>9.4</v>
      </c>
      <c r="P370" s="7">
        <f t="shared" si="5"/>
        <v>3.4000000000000004</v>
      </c>
      <c r="Q370" s="17">
        <v>48.596937100467571</v>
      </c>
      <c r="R370" s="14">
        <v>66</v>
      </c>
      <c r="S370" s="7">
        <v>17.403062899532429</v>
      </c>
      <c r="T370" s="8" t="s">
        <v>909</v>
      </c>
    </row>
    <row r="371" spans="1:20">
      <c r="A371" s="5" t="s">
        <v>755</v>
      </c>
      <c r="B371" s="5" t="s">
        <v>756</v>
      </c>
      <c r="C371" s="5" t="s">
        <v>18</v>
      </c>
      <c r="D371" s="5">
        <v>1</v>
      </c>
      <c r="E371" s="1" t="s">
        <v>714</v>
      </c>
      <c r="F371" s="10">
        <v>600</v>
      </c>
      <c r="G371" s="7">
        <v>5.4130099545470625</v>
      </c>
      <c r="H371" s="7">
        <v>6.3966196611617994</v>
      </c>
      <c r="I371" s="7">
        <v>7.0619351429071431</v>
      </c>
      <c r="J371" s="7">
        <v>7.9102976486639909</v>
      </c>
      <c r="K371" s="7">
        <v>8.5610169136749921</v>
      </c>
      <c r="L371" s="7">
        <v>9.2569973721769347</v>
      </c>
      <c r="M371" s="7">
        <v>3.9970604073356557</v>
      </c>
      <c r="N371" s="7">
        <v>4.5999999999999996</v>
      </c>
      <c r="O371" s="7">
        <v>7.6</v>
      </c>
      <c r="P371" s="7">
        <f t="shared" si="5"/>
        <v>3</v>
      </c>
      <c r="Q371" s="17">
        <v>48.596937100467571</v>
      </c>
      <c r="R371" s="14">
        <v>58</v>
      </c>
      <c r="S371" s="7">
        <v>9.4030628995324292</v>
      </c>
      <c r="T371" s="8" t="s">
        <v>909</v>
      </c>
    </row>
    <row r="372" spans="1:20">
      <c r="A372" s="5" t="s">
        <v>757</v>
      </c>
      <c r="B372" s="5" t="s">
        <v>758</v>
      </c>
      <c r="C372" s="5" t="s">
        <v>18</v>
      </c>
      <c r="D372" s="5">
        <v>1</v>
      </c>
      <c r="E372" s="1" t="s">
        <v>714</v>
      </c>
      <c r="F372" s="10">
        <v>600</v>
      </c>
      <c r="G372" s="7">
        <v>5.4130099545470625</v>
      </c>
      <c r="H372" s="7">
        <v>6.3966196611617994</v>
      </c>
      <c r="I372" s="7">
        <v>7.0619351429071431</v>
      </c>
      <c r="J372" s="7">
        <v>7.9102976486639909</v>
      </c>
      <c r="K372" s="7">
        <v>8.5610169136749921</v>
      </c>
      <c r="L372" s="7">
        <v>9.2569973721769347</v>
      </c>
      <c r="M372" s="7">
        <v>3.9970604073356557</v>
      </c>
      <c r="N372" s="7">
        <v>3.6</v>
      </c>
      <c r="O372" s="7">
        <v>4.4000000000000004</v>
      </c>
      <c r="P372" s="7">
        <f t="shared" si="5"/>
        <v>0.80000000000000027</v>
      </c>
      <c r="Q372" s="17">
        <v>48.596937100467571</v>
      </c>
      <c r="R372" s="14">
        <v>38</v>
      </c>
      <c r="S372" s="7">
        <v>-10.596937100467571</v>
      </c>
      <c r="T372" s="8" t="s">
        <v>910</v>
      </c>
    </row>
    <row r="373" spans="1:20">
      <c r="A373" s="5" t="s">
        <v>759</v>
      </c>
      <c r="B373" s="5" t="s">
        <v>760</v>
      </c>
      <c r="C373" s="5" t="s">
        <v>18</v>
      </c>
      <c r="D373" s="5">
        <v>2</v>
      </c>
      <c r="E373" s="1" t="s">
        <v>714</v>
      </c>
      <c r="F373" s="10">
        <v>600</v>
      </c>
      <c r="G373" s="7">
        <v>5.4130099545470625</v>
      </c>
      <c r="H373" s="7">
        <v>6.3966196611617994</v>
      </c>
      <c r="I373" s="7">
        <v>7.0619351429071431</v>
      </c>
      <c r="J373" s="7">
        <v>7.9102976486639909</v>
      </c>
      <c r="K373" s="7">
        <v>8.5610169136749921</v>
      </c>
      <c r="L373" s="7">
        <v>9.2569973721769347</v>
      </c>
      <c r="M373" s="7">
        <v>3.9970604073356557</v>
      </c>
      <c r="N373" s="7">
        <v>9.1999999999999993</v>
      </c>
      <c r="O373" s="7">
        <v>13</v>
      </c>
      <c r="P373" s="7">
        <f t="shared" si="5"/>
        <v>3.8000000000000007</v>
      </c>
      <c r="Q373" s="17">
        <v>48.596937100467571</v>
      </c>
      <c r="R373" s="14">
        <v>81</v>
      </c>
      <c r="S373" s="7">
        <v>32.403062899532429</v>
      </c>
      <c r="T373" s="8" t="s">
        <v>909</v>
      </c>
    </row>
    <row r="374" spans="1:20">
      <c r="A374" s="5" t="s">
        <v>761</v>
      </c>
      <c r="B374" s="5" t="s">
        <v>762</v>
      </c>
      <c r="C374" s="5" t="s">
        <v>18</v>
      </c>
      <c r="D374" s="5">
        <v>3</v>
      </c>
      <c r="E374" s="1" t="s">
        <v>714</v>
      </c>
      <c r="F374" s="10">
        <v>600</v>
      </c>
      <c r="G374" s="7">
        <v>5.4130099545470625</v>
      </c>
      <c r="H374" s="7">
        <v>6.3966196611617994</v>
      </c>
      <c r="I374" s="7">
        <v>7.0619351429071431</v>
      </c>
      <c r="J374" s="7">
        <v>7.9102976486639909</v>
      </c>
      <c r="K374" s="7">
        <v>8.5610169136749921</v>
      </c>
      <c r="L374" s="7">
        <v>9.2569973721769347</v>
      </c>
      <c r="M374" s="7">
        <v>3.9970604073356557</v>
      </c>
      <c r="N374" s="7">
        <v>6.8</v>
      </c>
      <c r="O374" s="7">
        <v>4.2</v>
      </c>
      <c r="P374" s="7">
        <f t="shared" si="5"/>
        <v>-2.5999999999999996</v>
      </c>
      <c r="Q374" s="17">
        <v>48.596937100467571</v>
      </c>
      <c r="R374" s="14">
        <v>37</v>
      </c>
      <c r="S374" s="7">
        <v>-11.596937100467571</v>
      </c>
      <c r="T374" s="8" t="s">
        <v>910</v>
      </c>
    </row>
    <row r="375" spans="1:20">
      <c r="A375" s="5" t="s">
        <v>763</v>
      </c>
      <c r="B375" s="5" t="s">
        <v>764</v>
      </c>
      <c r="C375" s="5" t="s">
        <v>18</v>
      </c>
      <c r="D375" s="5">
        <v>2</v>
      </c>
      <c r="E375" s="1" t="s">
        <v>714</v>
      </c>
      <c r="F375" s="10">
        <v>600</v>
      </c>
      <c r="G375" s="7">
        <v>5.4130099545470625</v>
      </c>
      <c r="H375" s="7">
        <v>6.3966196611617994</v>
      </c>
      <c r="I375" s="7">
        <v>7.0619351429071431</v>
      </c>
      <c r="J375" s="7">
        <v>7.9102976486639909</v>
      </c>
      <c r="K375" s="7">
        <v>8.5610169136749921</v>
      </c>
      <c r="L375" s="7">
        <v>9.2569973721769347</v>
      </c>
      <c r="M375" s="7">
        <v>3.9970604073356557</v>
      </c>
      <c r="N375" s="7">
        <v>7.8</v>
      </c>
      <c r="O375" s="7">
        <v>7.8</v>
      </c>
      <c r="P375" s="7">
        <f t="shared" si="5"/>
        <v>0</v>
      </c>
      <c r="Q375" s="17">
        <v>48.596937100467571</v>
      </c>
      <c r="R375" s="14">
        <v>58</v>
      </c>
      <c r="S375" s="7">
        <v>9.4030628995324292</v>
      </c>
      <c r="T375" s="8" t="s">
        <v>909</v>
      </c>
    </row>
    <row r="376" spans="1:20">
      <c r="A376" s="5" t="s">
        <v>765</v>
      </c>
      <c r="B376" s="5" t="s">
        <v>766</v>
      </c>
      <c r="C376" s="5" t="s">
        <v>67</v>
      </c>
      <c r="D376" s="5">
        <v>2</v>
      </c>
      <c r="E376" s="1" t="s">
        <v>714</v>
      </c>
      <c r="F376" s="10">
        <v>600</v>
      </c>
      <c r="G376" s="7">
        <v>5.4130099545470625</v>
      </c>
      <c r="H376" s="7">
        <v>6.3966196611617994</v>
      </c>
      <c r="I376" s="7">
        <v>7.0619351429071431</v>
      </c>
      <c r="J376" s="7">
        <v>7.9102976486639909</v>
      </c>
      <c r="K376" s="7">
        <v>8.5610169136749921</v>
      </c>
      <c r="L376" s="7">
        <v>9.2569973721769347</v>
      </c>
      <c r="M376" s="7">
        <v>3.9970604073356557</v>
      </c>
      <c r="N376" s="7">
        <v>3.5</v>
      </c>
      <c r="O376" s="7">
        <v>6.4</v>
      </c>
      <c r="P376" s="7">
        <f t="shared" si="5"/>
        <v>2.9000000000000004</v>
      </c>
      <c r="Q376" s="17">
        <v>48.596937100467571</v>
      </c>
      <c r="R376" s="14">
        <v>47</v>
      </c>
      <c r="S376" s="7">
        <v>-1.5969371004675708</v>
      </c>
      <c r="T376" s="8" t="s">
        <v>910</v>
      </c>
    </row>
    <row r="377" spans="1:20">
      <c r="A377" s="5" t="s">
        <v>767</v>
      </c>
      <c r="B377" s="5" t="s">
        <v>768</v>
      </c>
      <c r="C377" s="5" t="s">
        <v>67</v>
      </c>
      <c r="D377" s="5">
        <v>1</v>
      </c>
      <c r="E377" s="1" t="s">
        <v>714</v>
      </c>
      <c r="F377" s="10">
        <v>600</v>
      </c>
      <c r="G377" s="7">
        <v>5.4130099545470625</v>
      </c>
      <c r="H377" s="7">
        <v>6.3966196611617994</v>
      </c>
      <c r="I377" s="7">
        <v>7.0619351429071431</v>
      </c>
      <c r="J377" s="7">
        <v>7.9102976486639909</v>
      </c>
      <c r="K377" s="7">
        <v>8.5610169136749921</v>
      </c>
      <c r="L377" s="7">
        <v>9.2569973721769347</v>
      </c>
      <c r="M377" s="7">
        <v>3.9970604073356557</v>
      </c>
      <c r="N377" s="7">
        <v>6.4</v>
      </c>
      <c r="O377" s="7">
        <v>9.4</v>
      </c>
      <c r="P377" s="7">
        <f t="shared" si="5"/>
        <v>3</v>
      </c>
      <c r="Q377" s="17">
        <v>48.596937100467571</v>
      </c>
      <c r="R377" s="14">
        <v>72</v>
      </c>
      <c r="S377" s="7">
        <v>23.403062899532429</v>
      </c>
      <c r="T377" s="8" t="s">
        <v>909</v>
      </c>
    </row>
    <row r="378" spans="1:20">
      <c r="A378" s="5" t="s">
        <v>769</v>
      </c>
      <c r="B378" s="5" t="s">
        <v>770</v>
      </c>
      <c r="C378" s="5" t="s">
        <v>18</v>
      </c>
      <c r="D378" s="5">
        <v>3</v>
      </c>
      <c r="E378" s="1" t="s">
        <v>714</v>
      </c>
      <c r="F378" s="10">
        <v>600</v>
      </c>
      <c r="G378" s="7">
        <v>5.4130099545470625</v>
      </c>
      <c r="H378" s="7">
        <v>6.3966196611617994</v>
      </c>
      <c r="I378" s="7">
        <v>7.0619351429071431</v>
      </c>
      <c r="J378" s="7">
        <v>7.9102976486639909</v>
      </c>
      <c r="K378" s="7">
        <v>8.5610169136749921</v>
      </c>
      <c r="L378" s="7">
        <v>9.2569973721769347</v>
      </c>
      <c r="M378" s="7">
        <v>3.9970604073356557</v>
      </c>
      <c r="N378" s="7">
        <v>6</v>
      </c>
      <c r="O378" s="7">
        <v>7.2</v>
      </c>
      <c r="P378" s="7">
        <f t="shared" si="5"/>
        <v>1.2000000000000002</v>
      </c>
      <c r="Q378" s="17">
        <v>48.596937100467571</v>
      </c>
      <c r="R378" s="14">
        <v>49</v>
      </c>
      <c r="S378" s="7">
        <v>0.40306289953242924</v>
      </c>
      <c r="T378" s="8" t="s">
        <v>909</v>
      </c>
    </row>
    <row r="379" spans="1:20">
      <c r="A379" s="5" t="s">
        <v>771</v>
      </c>
      <c r="B379" s="5" t="s">
        <v>772</v>
      </c>
      <c r="C379" s="5" t="s">
        <v>661</v>
      </c>
      <c r="D379" s="5">
        <v>2</v>
      </c>
      <c r="E379" s="1" t="s">
        <v>714</v>
      </c>
      <c r="F379" s="10">
        <v>600</v>
      </c>
      <c r="G379" s="7">
        <v>5.4130099545470625</v>
      </c>
      <c r="H379" s="7">
        <v>6.3966196611617994</v>
      </c>
      <c r="I379" s="7">
        <v>7.0619351429071431</v>
      </c>
      <c r="J379" s="7">
        <v>7.9102976486639909</v>
      </c>
      <c r="K379" s="7">
        <v>8.5610169136749921</v>
      </c>
      <c r="L379" s="7">
        <v>9.2569973721769347</v>
      </c>
      <c r="M379" s="7">
        <v>3.9970604073356557</v>
      </c>
      <c r="N379" s="7">
        <v>7.7</v>
      </c>
      <c r="O379" s="7">
        <v>8.4</v>
      </c>
      <c r="P379" s="7">
        <f t="shared" si="5"/>
        <v>0.70000000000000018</v>
      </c>
      <c r="Q379" s="17">
        <v>48.596937100467571</v>
      </c>
      <c r="R379" s="14">
        <v>50</v>
      </c>
      <c r="S379" s="7">
        <v>1.4030628995324292</v>
      </c>
      <c r="T379" s="8" t="s">
        <v>909</v>
      </c>
    </row>
    <row r="380" spans="1:20">
      <c r="A380" s="5" t="s">
        <v>773</v>
      </c>
      <c r="B380" s="5" t="s">
        <v>774</v>
      </c>
      <c r="C380" s="5" t="s">
        <v>18</v>
      </c>
      <c r="D380" s="5">
        <v>3</v>
      </c>
      <c r="E380" s="1" t="s">
        <v>714</v>
      </c>
      <c r="F380" s="10">
        <v>600</v>
      </c>
      <c r="G380" s="7">
        <v>5.2583525272742895</v>
      </c>
      <c r="H380" s="7">
        <v>6.2138590994143188</v>
      </c>
      <c r="I380" s="7">
        <v>6.8601655673955104</v>
      </c>
      <c r="J380" s="7">
        <v>7.6842891444164483</v>
      </c>
      <c r="K380" s="7">
        <v>8.3164164304271342</v>
      </c>
      <c r="L380" s="7">
        <v>8.9925117329718791</v>
      </c>
      <c r="M380" s="7">
        <v>3.88285868141178</v>
      </c>
      <c r="N380" s="7">
        <v>8.1</v>
      </c>
      <c r="O380" s="7">
        <v>6.8</v>
      </c>
      <c r="P380" s="7">
        <f t="shared" si="5"/>
        <v>-1.2999999999999998</v>
      </c>
      <c r="Q380" s="17">
        <v>47.208453183311356</v>
      </c>
      <c r="R380" s="14">
        <v>51</v>
      </c>
      <c r="S380" s="7">
        <v>3.7915468166886441</v>
      </c>
      <c r="T380" s="8" t="s">
        <v>909</v>
      </c>
    </row>
    <row r="381" spans="1:20">
      <c r="A381" s="5" t="s">
        <v>775</v>
      </c>
      <c r="B381" s="5" t="s">
        <v>776</v>
      </c>
      <c r="C381" s="5" t="s">
        <v>18</v>
      </c>
      <c r="D381" s="5">
        <v>4</v>
      </c>
      <c r="E381" s="1" t="s">
        <v>714</v>
      </c>
      <c r="F381" s="10">
        <v>600</v>
      </c>
      <c r="G381" s="7">
        <v>5.2583525272742895</v>
      </c>
      <c r="H381" s="7">
        <v>6.2138590994143188</v>
      </c>
      <c r="I381" s="7">
        <v>6.8601655673955104</v>
      </c>
      <c r="J381" s="7">
        <v>7.6842891444164483</v>
      </c>
      <c r="K381" s="7">
        <v>8.3164164304271342</v>
      </c>
      <c r="L381" s="7">
        <v>8.9925117329718791</v>
      </c>
      <c r="M381" s="7">
        <v>3.88285868141178</v>
      </c>
      <c r="N381" s="7">
        <v>6.9</v>
      </c>
      <c r="O381" s="7">
        <v>4.5999999999999996</v>
      </c>
      <c r="P381" s="7">
        <f t="shared" si="5"/>
        <v>-2.3000000000000007</v>
      </c>
      <c r="Q381" s="17">
        <v>47.208453183311356</v>
      </c>
      <c r="R381" s="14">
        <v>31</v>
      </c>
      <c r="S381" s="7">
        <v>-16.208453183311356</v>
      </c>
      <c r="T381" s="8" t="s">
        <v>910</v>
      </c>
    </row>
    <row r="382" spans="1:20">
      <c r="A382" s="5" t="s">
        <v>777</v>
      </c>
      <c r="B382" s="5" t="s">
        <v>778</v>
      </c>
      <c r="C382" s="5" t="s">
        <v>18</v>
      </c>
      <c r="D382" s="5">
        <v>3</v>
      </c>
      <c r="E382" s="1" t="s">
        <v>714</v>
      </c>
      <c r="F382" s="10">
        <v>600</v>
      </c>
      <c r="G382" s="7">
        <v>5.2583525272742895</v>
      </c>
      <c r="H382" s="7">
        <v>6.2138590994143188</v>
      </c>
      <c r="I382" s="7">
        <v>6.8601655673955104</v>
      </c>
      <c r="J382" s="7">
        <v>7.6842891444164483</v>
      </c>
      <c r="K382" s="7">
        <v>8.3164164304271342</v>
      </c>
      <c r="L382" s="7">
        <v>8.9925117329718791</v>
      </c>
      <c r="M382" s="7">
        <v>3.88285868141178</v>
      </c>
      <c r="N382" s="7">
        <v>6.3</v>
      </c>
      <c r="O382" s="7">
        <v>4</v>
      </c>
      <c r="P382" s="7">
        <f t="shared" si="5"/>
        <v>-2.2999999999999998</v>
      </c>
      <c r="Q382" s="17">
        <v>47.208453183311356</v>
      </c>
      <c r="R382" s="14">
        <v>33</v>
      </c>
      <c r="S382" s="7">
        <v>-14.208453183311356</v>
      </c>
      <c r="T382" s="8" t="s">
        <v>910</v>
      </c>
    </row>
    <row r="383" spans="1:20">
      <c r="A383" s="5" t="s">
        <v>779</v>
      </c>
      <c r="B383" s="5" t="s">
        <v>780</v>
      </c>
      <c r="C383" s="5" t="s">
        <v>18</v>
      </c>
      <c r="D383" s="5">
        <v>3</v>
      </c>
      <c r="E383" s="1" t="s">
        <v>714</v>
      </c>
      <c r="F383" s="10">
        <v>600</v>
      </c>
      <c r="G383" s="7">
        <v>5.2583525272742895</v>
      </c>
      <c r="H383" s="7">
        <v>6.2138590994143188</v>
      </c>
      <c r="I383" s="7">
        <v>6.8601655673955104</v>
      </c>
      <c r="J383" s="7">
        <v>7.6842891444164483</v>
      </c>
      <c r="K383" s="7">
        <v>8.3164164304271342</v>
      </c>
      <c r="L383" s="7">
        <v>8.9925117329718791</v>
      </c>
      <c r="M383" s="7">
        <v>3.88285868141178</v>
      </c>
      <c r="N383" s="7">
        <v>7.7</v>
      </c>
      <c r="O383" s="7">
        <v>4.8</v>
      </c>
      <c r="P383" s="7">
        <f t="shared" si="5"/>
        <v>-2.9000000000000004</v>
      </c>
      <c r="Q383" s="17">
        <v>47.208453183311356</v>
      </c>
      <c r="R383" s="14">
        <v>32</v>
      </c>
      <c r="S383" s="7">
        <v>-15.208453183311356</v>
      </c>
      <c r="T383" s="8" t="s">
        <v>910</v>
      </c>
    </row>
    <row r="384" spans="1:20">
      <c r="A384" s="5" t="s">
        <v>781</v>
      </c>
      <c r="B384" s="5" t="s">
        <v>782</v>
      </c>
      <c r="C384" s="5" t="s">
        <v>18</v>
      </c>
      <c r="D384" s="5">
        <v>4</v>
      </c>
      <c r="E384" s="1" t="s">
        <v>714</v>
      </c>
      <c r="F384" s="10">
        <v>600</v>
      </c>
      <c r="G384" s="7">
        <v>5.2583525272742895</v>
      </c>
      <c r="H384" s="7">
        <v>6.2138590994143188</v>
      </c>
      <c r="I384" s="7">
        <v>6.8601655673955104</v>
      </c>
      <c r="J384" s="7">
        <v>7.6842891444164483</v>
      </c>
      <c r="K384" s="7">
        <v>8.3164164304271342</v>
      </c>
      <c r="L384" s="7">
        <v>8.9925117329718791</v>
      </c>
      <c r="M384" s="7">
        <v>3.88285868141178</v>
      </c>
      <c r="N384" s="7">
        <v>6.4</v>
      </c>
      <c r="O384" s="7">
        <v>4.4000000000000004</v>
      </c>
      <c r="P384" s="7">
        <f t="shared" si="5"/>
        <v>-2</v>
      </c>
      <c r="Q384" s="17">
        <v>47.208453183311356</v>
      </c>
      <c r="R384" s="14">
        <v>29</v>
      </c>
      <c r="S384" s="7">
        <v>-18.208453183311356</v>
      </c>
      <c r="T384" s="8" t="s">
        <v>910</v>
      </c>
    </row>
    <row r="385" spans="1:20">
      <c r="A385" s="5" t="s">
        <v>783</v>
      </c>
      <c r="B385" s="5" t="s">
        <v>784</v>
      </c>
      <c r="C385" s="5" t="s">
        <v>18</v>
      </c>
      <c r="D385" s="5">
        <v>2</v>
      </c>
      <c r="E385" s="1" t="s">
        <v>714</v>
      </c>
      <c r="F385" s="10">
        <v>600</v>
      </c>
      <c r="G385" s="7">
        <v>5.1036951000015156</v>
      </c>
      <c r="H385" s="7">
        <v>6.0310985376668391</v>
      </c>
      <c r="I385" s="7">
        <v>6.6583959918838769</v>
      </c>
      <c r="J385" s="7">
        <v>7.4582806401689057</v>
      </c>
      <c r="K385" s="7">
        <v>8.0718159471792781</v>
      </c>
      <c r="L385" s="7">
        <v>8.7280260937668235</v>
      </c>
      <c r="M385" s="7">
        <v>3.7686569554879039</v>
      </c>
      <c r="N385" s="7">
        <v>6.4</v>
      </c>
      <c r="O385" s="7">
        <v>8.8000000000000007</v>
      </c>
      <c r="P385" s="7">
        <f t="shared" si="5"/>
        <v>2.4000000000000004</v>
      </c>
      <c r="Q385" s="17">
        <v>45.819969266155141</v>
      </c>
      <c r="R385" s="14">
        <v>53</v>
      </c>
      <c r="S385" s="7">
        <v>7.180030733844859</v>
      </c>
      <c r="T385" s="8" t="s">
        <v>909</v>
      </c>
    </row>
    <row r="386" spans="1:20">
      <c r="A386" s="5" t="s">
        <v>785</v>
      </c>
      <c r="B386" s="5" t="s">
        <v>786</v>
      </c>
      <c r="C386" s="5" t="s">
        <v>67</v>
      </c>
      <c r="D386" s="5">
        <v>1</v>
      </c>
      <c r="E386" s="1" t="s">
        <v>714</v>
      </c>
      <c r="F386" s="10">
        <v>600</v>
      </c>
      <c r="G386" s="7">
        <v>5.1036951000015156</v>
      </c>
      <c r="H386" s="7">
        <v>6.0310985376668391</v>
      </c>
      <c r="I386" s="7">
        <v>6.6583959918838769</v>
      </c>
      <c r="J386" s="7">
        <v>7.4582806401689057</v>
      </c>
      <c r="K386" s="7">
        <v>8.0718159471792781</v>
      </c>
      <c r="L386" s="7">
        <v>8.7280260937668235</v>
      </c>
      <c r="M386" s="7">
        <v>3.7686569554879039</v>
      </c>
      <c r="N386" s="7">
        <v>7</v>
      </c>
      <c r="O386" s="7">
        <v>7.8</v>
      </c>
      <c r="P386" s="7">
        <f t="shared" si="5"/>
        <v>0.79999999999999982</v>
      </c>
      <c r="Q386" s="17">
        <v>45.819969266155141</v>
      </c>
      <c r="R386" s="14">
        <v>56</v>
      </c>
      <c r="S386" s="7">
        <v>10.180030733844859</v>
      </c>
      <c r="T386" s="8" t="s">
        <v>909</v>
      </c>
    </row>
    <row r="387" spans="1:20">
      <c r="A387" s="5" t="s">
        <v>787</v>
      </c>
      <c r="B387" s="5" t="s">
        <v>788</v>
      </c>
      <c r="C387" s="5" t="s">
        <v>18</v>
      </c>
      <c r="D387" s="5">
        <v>4</v>
      </c>
      <c r="E387" s="1" t="s">
        <v>714</v>
      </c>
      <c r="F387" s="10">
        <v>600</v>
      </c>
      <c r="G387" s="7">
        <v>4.9490376727287435</v>
      </c>
      <c r="H387" s="7">
        <v>5.8483379759193603</v>
      </c>
      <c r="I387" s="7">
        <v>6.4566264163722451</v>
      </c>
      <c r="J387" s="7">
        <v>7.232272135921364</v>
      </c>
      <c r="K387" s="7">
        <v>7.8272154639314211</v>
      </c>
      <c r="L387" s="7">
        <v>8.4635404545617696</v>
      </c>
      <c r="M387" s="7">
        <v>3.6544552295640287</v>
      </c>
      <c r="N387" s="7">
        <v>9.1</v>
      </c>
      <c r="O387" s="7">
        <v>7.8</v>
      </c>
      <c r="P387" s="7">
        <f t="shared" si="5"/>
        <v>-1.2999999999999998</v>
      </c>
      <c r="Q387" s="17">
        <v>44.431485348998926</v>
      </c>
      <c r="R387" s="14">
        <v>57</v>
      </c>
      <c r="S387" s="7">
        <v>12.568514651001074</v>
      </c>
      <c r="T387" s="8" t="s">
        <v>909</v>
      </c>
    </row>
    <row r="388" spans="1:20">
      <c r="A388" s="5" t="s">
        <v>789</v>
      </c>
      <c r="B388" s="5" t="s">
        <v>790</v>
      </c>
      <c r="C388" s="5" t="s">
        <v>67</v>
      </c>
      <c r="D388" s="5">
        <v>1</v>
      </c>
      <c r="E388" s="1" t="s">
        <v>714</v>
      </c>
      <c r="F388" s="10">
        <v>600</v>
      </c>
      <c r="G388" s="7">
        <v>4.9490376727287435</v>
      </c>
      <c r="H388" s="7">
        <v>5.8483379759193603</v>
      </c>
      <c r="I388" s="7">
        <v>6.4566264163722451</v>
      </c>
      <c r="J388" s="7">
        <v>7.232272135921364</v>
      </c>
      <c r="K388" s="7">
        <v>7.8272154639314211</v>
      </c>
      <c r="L388" s="7">
        <v>8.4635404545617696</v>
      </c>
      <c r="M388" s="7">
        <v>3.6544552295640287</v>
      </c>
      <c r="N388" s="7">
        <v>4.5</v>
      </c>
      <c r="O388" s="7">
        <v>8.8000000000000007</v>
      </c>
      <c r="P388" s="7">
        <f t="shared" si="5"/>
        <v>4.3000000000000007</v>
      </c>
      <c r="Q388" s="17">
        <v>44.431485348998926</v>
      </c>
      <c r="R388" s="14">
        <v>55</v>
      </c>
      <c r="S388" s="7">
        <v>10.568514651001074</v>
      </c>
      <c r="T388" s="8" t="s">
        <v>909</v>
      </c>
    </row>
    <row r="389" spans="1:20">
      <c r="A389" s="5" t="s">
        <v>791</v>
      </c>
      <c r="B389" s="5" t="s">
        <v>792</v>
      </c>
      <c r="C389" s="5" t="s">
        <v>67</v>
      </c>
      <c r="D389" s="5">
        <v>2</v>
      </c>
      <c r="E389" s="1" t="s">
        <v>714</v>
      </c>
      <c r="F389" s="10">
        <v>600</v>
      </c>
      <c r="G389" s="7">
        <v>4.9490376727287435</v>
      </c>
      <c r="H389" s="7">
        <v>5.8483379759193603</v>
      </c>
      <c r="I389" s="7">
        <v>6.4566264163722451</v>
      </c>
      <c r="J389" s="7">
        <v>7.232272135921364</v>
      </c>
      <c r="K389" s="7">
        <v>7.8272154639314211</v>
      </c>
      <c r="L389" s="7">
        <v>8.4635404545617696</v>
      </c>
      <c r="M389" s="7">
        <v>3.6544552295640287</v>
      </c>
      <c r="N389" s="7">
        <v>7</v>
      </c>
      <c r="O389" s="7">
        <v>7.8</v>
      </c>
      <c r="P389" s="7">
        <f t="shared" ref="P389:P446" si="6">O389-N389</f>
        <v>0.79999999999999982</v>
      </c>
      <c r="Q389" s="17">
        <v>44.431485348998926</v>
      </c>
      <c r="R389" s="14">
        <v>50</v>
      </c>
      <c r="S389" s="7">
        <v>5.5685146510010739</v>
      </c>
      <c r="T389" s="8" t="s">
        <v>909</v>
      </c>
    </row>
    <row r="390" spans="1:20">
      <c r="A390" s="5" t="s">
        <v>793</v>
      </c>
      <c r="B390" s="5" t="s">
        <v>794</v>
      </c>
      <c r="C390" s="5" t="s">
        <v>18</v>
      </c>
      <c r="D390" s="5">
        <v>3</v>
      </c>
      <c r="E390" s="1" t="s">
        <v>714</v>
      </c>
      <c r="F390" s="10">
        <v>600</v>
      </c>
      <c r="G390" s="7">
        <v>4.9490376727287435</v>
      </c>
      <c r="H390" s="7">
        <v>5.8483379759193603</v>
      </c>
      <c r="I390" s="7">
        <v>6.4566264163722451</v>
      </c>
      <c r="J390" s="7">
        <v>7.232272135921364</v>
      </c>
      <c r="K390" s="7">
        <v>7.8272154639314211</v>
      </c>
      <c r="L390" s="7">
        <v>8.4635404545617696</v>
      </c>
      <c r="M390" s="7">
        <v>3.6544552295640287</v>
      </c>
      <c r="N390" s="7">
        <v>8.1</v>
      </c>
      <c r="O390" s="7">
        <v>7.2</v>
      </c>
      <c r="P390" s="7">
        <f t="shared" si="6"/>
        <v>-0.89999999999999947</v>
      </c>
      <c r="Q390" s="17">
        <v>44.431485348998926</v>
      </c>
      <c r="R390" s="14">
        <v>52</v>
      </c>
      <c r="S390" s="7">
        <v>7.5685146510010739</v>
      </c>
      <c r="T390" s="8" t="s">
        <v>909</v>
      </c>
    </row>
    <row r="391" spans="1:20">
      <c r="A391" s="5" t="s">
        <v>795</v>
      </c>
      <c r="B391" s="5" t="s">
        <v>796</v>
      </c>
      <c r="C391" s="5" t="s">
        <v>18</v>
      </c>
      <c r="D391" s="5">
        <v>3</v>
      </c>
      <c r="E391" s="1" t="s">
        <v>714</v>
      </c>
      <c r="F391" s="10">
        <v>600</v>
      </c>
      <c r="G391" s="7">
        <v>4.7943802454559705</v>
      </c>
      <c r="H391" s="7">
        <v>5.6655774141718807</v>
      </c>
      <c r="I391" s="7">
        <v>6.2548568408606133</v>
      </c>
      <c r="J391" s="7">
        <v>7.0062636316738214</v>
      </c>
      <c r="K391" s="7">
        <v>7.5826149806835641</v>
      </c>
      <c r="L391" s="7">
        <v>8.199054815356714</v>
      </c>
      <c r="M391" s="7">
        <v>3.540253503640153</v>
      </c>
      <c r="N391" s="7">
        <v>9.1</v>
      </c>
      <c r="O391" s="7">
        <v>5.2</v>
      </c>
      <c r="P391" s="7">
        <f t="shared" si="6"/>
        <v>-3.8999999999999995</v>
      </c>
      <c r="Q391" s="17">
        <v>43.043001431842718</v>
      </c>
      <c r="R391" s="14">
        <v>81</v>
      </c>
      <c r="S391" s="7">
        <v>37.956998568157282</v>
      </c>
      <c r="T391" s="8" t="s">
        <v>909</v>
      </c>
    </row>
    <row r="392" spans="1:20">
      <c r="A392" s="5" t="s">
        <v>797</v>
      </c>
      <c r="B392" s="5" t="s">
        <v>798</v>
      </c>
      <c r="C392" s="5" t="s">
        <v>18</v>
      </c>
      <c r="D392" s="5">
        <v>2</v>
      </c>
      <c r="E392" s="1" t="s">
        <v>714</v>
      </c>
      <c r="F392" s="10">
        <v>600</v>
      </c>
      <c r="G392" s="7">
        <v>4.6397228181831967</v>
      </c>
      <c r="H392" s="7">
        <v>5.4828168524244001</v>
      </c>
      <c r="I392" s="7">
        <v>6.0530872653489798</v>
      </c>
      <c r="J392" s="7">
        <v>6.7802551274262788</v>
      </c>
      <c r="K392" s="7">
        <v>7.338014497435708</v>
      </c>
      <c r="L392" s="7">
        <v>7.9345691761516584</v>
      </c>
      <c r="M392" s="7">
        <v>3.4260517777162769</v>
      </c>
      <c r="N392" s="7">
        <v>5.2</v>
      </c>
      <c r="O392" s="7">
        <v>4</v>
      </c>
      <c r="P392" s="7">
        <f t="shared" si="6"/>
        <v>-1.2000000000000002</v>
      </c>
      <c r="Q392" s="17">
        <v>41.654517514686496</v>
      </c>
      <c r="R392" s="14">
        <v>57</v>
      </c>
      <c r="S392" s="7">
        <v>15.345482485313504</v>
      </c>
      <c r="T392" s="8" t="s">
        <v>909</v>
      </c>
    </row>
    <row r="393" spans="1:20">
      <c r="A393" s="5" t="s">
        <v>799</v>
      </c>
      <c r="B393" s="5" t="s">
        <v>800</v>
      </c>
      <c r="C393" s="5" t="s">
        <v>18</v>
      </c>
      <c r="D393" s="5">
        <v>3</v>
      </c>
      <c r="E393" s="1" t="s">
        <v>714</v>
      </c>
      <c r="F393" s="10">
        <v>600</v>
      </c>
      <c r="G393" s="7">
        <v>4.6397228181831967</v>
      </c>
      <c r="H393" s="7">
        <v>5.4828168524244001</v>
      </c>
      <c r="I393" s="7">
        <v>6.0530872653489798</v>
      </c>
      <c r="J393" s="7">
        <v>6.7802551274262788</v>
      </c>
      <c r="K393" s="7">
        <v>7.338014497435708</v>
      </c>
      <c r="L393" s="7">
        <v>7.9345691761516584</v>
      </c>
      <c r="M393" s="7">
        <v>3.4260517777162769</v>
      </c>
      <c r="N393" s="7">
        <v>5.7</v>
      </c>
      <c r="O393" s="7">
        <v>6.6</v>
      </c>
      <c r="P393" s="7">
        <f t="shared" si="6"/>
        <v>0.89999999999999947</v>
      </c>
      <c r="Q393" s="17">
        <v>41.654517514686496</v>
      </c>
      <c r="R393" s="14">
        <v>46</v>
      </c>
      <c r="S393" s="7">
        <v>4.3454824853135037</v>
      </c>
      <c r="T393" s="8" t="s">
        <v>909</v>
      </c>
    </row>
    <row r="394" spans="1:20">
      <c r="A394" s="5" t="s">
        <v>801</v>
      </c>
      <c r="B394" s="5" t="s">
        <v>802</v>
      </c>
      <c r="C394" s="5" t="s">
        <v>18</v>
      </c>
      <c r="D394" s="5">
        <v>3</v>
      </c>
      <c r="E394" s="1" t="s">
        <v>714</v>
      </c>
      <c r="F394" s="10">
        <v>600</v>
      </c>
      <c r="G394" s="7">
        <v>4.6397228181831967</v>
      </c>
      <c r="H394" s="7">
        <v>5.4828168524244001</v>
      </c>
      <c r="I394" s="7">
        <v>6.0530872653489798</v>
      </c>
      <c r="J394" s="7">
        <v>6.7802551274262788</v>
      </c>
      <c r="K394" s="7">
        <v>7.338014497435708</v>
      </c>
      <c r="L394" s="7">
        <v>7.9345691761516584</v>
      </c>
      <c r="M394" s="7">
        <v>3.4260517777162769</v>
      </c>
      <c r="N394" s="7">
        <v>4.9000000000000004</v>
      </c>
      <c r="O394" s="7">
        <v>3.6</v>
      </c>
      <c r="P394" s="7">
        <f t="shared" si="6"/>
        <v>-1.3000000000000003</v>
      </c>
      <c r="Q394" s="17">
        <v>41.654517514686496</v>
      </c>
      <c r="R394" s="14">
        <v>29</v>
      </c>
      <c r="S394" s="7">
        <v>-12.654517514686496</v>
      </c>
      <c r="T394" s="8" t="s">
        <v>910</v>
      </c>
    </row>
    <row r="395" spans="1:20">
      <c r="A395" s="5" t="s">
        <v>803</v>
      </c>
      <c r="B395" s="5" t="s">
        <v>804</v>
      </c>
      <c r="C395" s="5" t="s">
        <v>18</v>
      </c>
      <c r="D395" s="5">
        <v>3</v>
      </c>
      <c r="E395" s="1" t="s">
        <v>714</v>
      </c>
      <c r="F395" s="10">
        <v>600</v>
      </c>
      <c r="G395" s="7">
        <v>4.6397228181831967</v>
      </c>
      <c r="H395" s="7">
        <v>5.4828168524244001</v>
      </c>
      <c r="I395" s="7">
        <v>6.0530872653489798</v>
      </c>
      <c r="J395" s="7">
        <v>6.7802551274262788</v>
      </c>
      <c r="K395" s="7">
        <v>7.338014497435708</v>
      </c>
      <c r="L395" s="7">
        <v>7.9345691761516584</v>
      </c>
      <c r="M395" s="7">
        <v>3.4260517777162769</v>
      </c>
      <c r="N395" s="7">
        <v>6.3</v>
      </c>
      <c r="O395" s="7">
        <v>3</v>
      </c>
      <c r="P395" s="7">
        <f t="shared" si="6"/>
        <v>-3.3</v>
      </c>
      <c r="Q395" s="17">
        <v>41.654517514686496</v>
      </c>
      <c r="R395" s="14">
        <v>29</v>
      </c>
      <c r="S395" s="7">
        <v>-12.654517514686496</v>
      </c>
      <c r="T395" s="8" t="s">
        <v>910</v>
      </c>
    </row>
    <row r="396" spans="1:20">
      <c r="A396" s="5" t="s">
        <v>805</v>
      </c>
      <c r="B396" s="5" t="s">
        <v>806</v>
      </c>
      <c r="C396" s="5" t="s">
        <v>18</v>
      </c>
      <c r="D396" s="5">
        <v>3</v>
      </c>
      <c r="E396" s="1" t="s">
        <v>714</v>
      </c>
      <c r="F396" s="10">
        <v>600</v>
      </c>
      <c r="G396" s="7">
        <v>4.6397228181831967</v>
      </c>
      <c r="H396" s="7">
        <v>5.4828168524244001</v>
      </c>
      <c r="I396" s="7">
        <v>6.0530872653489798</v>
      </c>
      <c r="J396" s="7">
        <v>6.7802551274262788</v>
      </c>
      <c r="K396" s="7">
        <v>7.338014497435708</v>
      </c>
      <c r="L396" s="7">
        <v>7.9345691761516584</v>
      </c>
      <c r="M396" s="7">
        <v>3.4260517777162769</v>
      </c>
      <c r="N396" s="7">
        <v>6.1</v>
      </c>
      <c r="O396" s="7">
        <v>6.8</v>
      </c>
      <c r="P396" s="7">
        <f t="shared" si="6"/>
        <v>0.70000000000000018</v>
      </c>
      <c r="Q396" s="17">
        <v>41.654517514686496</v>
      </c>
      <c r="R396" s="14">
        <v>43</v>
      </c>
      <c r="S396" s="7">
        <v>1.3454824853135037</v>
      </c>
      <c r="T396" s="8" t="s">
        <v>909</v>
      </c>
    </row>
    <row r="397" spans="1:20">
      <c r="A397" s="5" t="s">
        <v>807</v>
      </c>
      <c r="B397" s="5" t="s">
        <v>808</v>
      </c>
      <c r="C397" s="5" t="s">
        <v>18</v>
      </c>
      <c r="D397" s="5">
        <v>2</v>
      </c>
      <c r="E397" s="1" t="s">
        <v>714</v>
      </c>
      <c r="F397" s="10">
        <v>600</v>
      </c>
      <c r="G397" s="7">
        <v>4.6397228181831967</v>
      </c>
      <c r="H397" s="7">
        <v>5.4828168524244001</v>
      </c>
      <c r="I397" s="7">
        <v>6.0530872653489798</v>
      </c>
      <c r="J397" s="7">
        <v>6.7802551274262788</v>
      </c>
      <c r="K397" s="7">
        <v>7.338014497435708</v>
      </c>
      <c r="L397" s="7">
        <v>7.9345691761516584</v>
      </c>
      <c r="M397" s="7">
        <v>3.4260517777162769</v>
      </c>
      <c r="N397" s="7">
        <v>2.2999999999999998</v>
      </c>
      <c r="O397" s="7">
        <v>3</v>
      </c>
      <c r="P397" s="7">
        <f t="shared" si="6"/>
        <v>0.70000000000000018</v>
      </c>
      <c r="Q397" s="17">
        <v>41.654517514686496</v>
      </c>
      <c r="R397" s="14">
        <v>20</v>
      </c>
      <c r="S397" s="7">
        <v>-21.654517514686496</v>
      </c>
      <c r="T397" s="8" t="s">
        <v>910</v>
      </c>
    </row>
    <row r="398" spans="1:20">
      <c r="A398" s="5" t="s">
        <v>809</v>
      </c>
      <c r="B398" s="5" t="s">
        <v>810</v>
      </c>
      <c r="C398" s="5" t="s">
        <v>18</v>
      </c>
      <c r="D398" s="5">
        <v>2</v>
      </c>
      <c r="E398" s="1" t="s">
        <v>714</v>
      </c>
      <c r="F398" s="10">
        <v>600</v>
      </c>
      <c r="G398" s="7">
        <v>4.4850653909104237</v>
      </c>
      <c r="H398" s="7">
        <v>5.3000562906769204</v>
      </c>
      <c r="I398" s="7">
        <v>5.8513176898373471</v>
      </c>
      <c r="J398" s="7">
        <v>6.5542466231787362</v>
      </c>
      <c r="K398" s="7">
        <v>7.0934140141878501</v>
      </c>
      <c r="L398" s="7">
        <v>7.6700835369466027</v>
      </c>
      <c r="M398" s="7">
        <v>3.3118500517924008</v>
      </c>
      <c r="N398" s="7">
        <v>4.5</v>
      </c>
      <c r="O398" s="7">
        <v>3.8</v>
      </c>
      <c r="P398" s="7">
        <f t="shared" si="6"/>
        <v>-0.70000000000000018</v>
      </c>
      <c r="Q398" s="17">
        <v>40.266033597530274</v>
      </c>
      <c r="R398" s="14">
        <v>28</v>
      </c>
      <c r="S398" s="7">
        <v>-12.266033597530274</v>
      </c>
      <c r="T398" s="8" t="s">
        <v>910</v>
      </c>
    </row>
    <row r="399" spans="1:20">
      <c r="A399" s="5" t="s">
        <v>811</v>
      </c>
      <c r="B399" s="5" t="s">
        <v>812</v>
      </c>
      <c r="C399" s="5" t="s">
        <v>18</v>
      </c>
      <c r="D399" s="5">
        <v>1</v>
      </c>
      <c r="E399" s="1" t="s">
        <v>714</v>
      </c>
      <c r="F399" s="10">
        <v>600</v>
      </c>
      <c r="G399" s="7">
        <v>4.4850653909104237</v>
      </c>
      <c r="H399" s="7">
        <v>5.3000562906769204</v>
      </c>
      <c r="I399" s="7">
        <v>5.8513176898373471</v>
      </c>
      <c r="J399" s="7">
        <v>6.5542466231787362</v>
      </c>
      <c r="K399" s="7">
        <v>7.0934140141878501</v>
      </c>
      <c r="L399" s="7">
        <v>7.6700835369466027</v>
      </c>
      <c r="M399" s="7">
        <v>3.3118500517924008</v>
      </c>
      <c r="N399" s="7">
        <v>5.6</v>
      </c>
      <c r="O399" s="7">
        <v>7.2</v>
      </c>
      <c r="P399" s="7">
        <f t="shared" si="6"/>
        <v>1.6000000000000005</v>
      </c>
      <c r="Q399" s="17">
        <v>40.266033597530274</v>
      </c>
      <c r="R399" s="14">
        <v>49</v>
      </c>
      <c r="S399" s="7">
        <v>8.7339664024697257</v>
      </c>
      <c r="T399" s="8" t="s">
        <v>909</v>
      </c>
    </row>
    <row r="400" spans="1:20">
      <c r="A400" s="5" t="s">
        <v>813</v>
      </c>
      <c r="B400" s="5" t="s">
        <v>814</v>
      </c>
      <c r="C400" s="5" t="s">
        <v>18</v>
      </c>
      <c r="D400" s="5">
        <v>2</v>
      </c>
      <c r="E400" s="1" t="s">
        <v>714</v>
      </c>
      <c r="F400" s="10">
        <v>600</v>
      </c>
      <c r="G400" s="7">
        <v>4.4850653909104237</v>
      </c>
      <c r="H400" s="7">
        <v>5.3000562906769204</v>
      </c>
      <c r="I400" s="7">
        <v>5.8513176898373471</v>
      </c>
      <c r="J400" s="7">
        <v>6.5542466231787362</v>
      </c>
      <c r="K400" s="7">
        <v>7.0934140141878501</v>
      </c>
      <c r="L400" s="7">
        <v>7.6700835369466027</v>
      </c>
      <c r="M400" s="7">
        <v>3.3118500517924008</v>
      </c>
      <c r="N400" s="7">
        <v>5.0999999999999996</v>
      </c>
      <c r="O400" s="7">
        <v>3.4</v>
      </c>
      <c r="P400" s="7">
        <f t="shared" si="6"/>
        <v>-1.6999999999999997</v>
      </c>
      <c r="Q400" s="17">
        <v>40.266033597530274</v>
      </c>
      <c r="R400" s="14">
        <v>24</v>
      </c>
      <c r="S400" s="7">
        <v>-16.266033597530274</v>
      </c>
      <c r="T400" s="8" t="s">
        <v>910</v>
      </c>
    </row>
    <row r="401" spans="1:20">
      <c r="A401" s="5" t="s">
        <v>815</v>
      </c>
      <c r="B401" s="5" t="s">
        <v>816</v>
      </c>
      <c r="C401" s="5" t="s">
        <v>18</v>
      </c>
      <c r="D401" s="5">
        <v>3</v>
      </c>
      <c r="E401" s="1" t="s">
        <v>714</v>
      </c>
      <c r="F401" s="10">
        <v>600</v>
      </c>
      <c r="G401" s="7">
        <v>4.4850653909104237</v>
      </c>
      <c r="H401" s="7">
        <v>5.3000562906769204</v>
      </c>
      <c r="I401" s="7">
        <v>5.8513176898373471</v>
      </c>
      <c r="J401" s="7">
        <v>6.5542466231787362</v>
      </c>
      <c r="K401" s="7">
        <v>7.0934140141878501</v>
      </c>
      <c r="L401" s="7">
        <v>7.6700835369466027</v>
      </c>
      <c r="M401" s="7">
        <v>3.3118500517924008</v>
      </c>
      <c r="N401" s="7">
        <v>4.3</v>
      </c>
      <c r="O401" s="7">
        <v>6.6</v>
      </c>
      <c r="P401" s="7">
        <f t="shared" si="6"/>
        <v>2.2999999999999998</v>
      </c>
      <c r="Q401" s="17">
        <v>40.266033597530274</v>
      </c>
      <c r="R401" s="14">
        <v>49</v>
      </c>
      <c r="S401" s="7">
        <v>8.7339664024697257</v>
      </c>
      <c r="T401" s="8" t="s">
        <v>909</v>
      </c>
    </row>
    <row r="402" spans="1:20">
      <c r="A402" s="5" t="s">
        <v>817</v>
      </c>
      <c r="B402" s="5" t="s">
        <v>818</v>
      </c>
      <c r="C402" s="5" t="s">
        <v>18</v>
      </c>
      <c r="D402" s="5">
        <v>3</v>
      </c>
      <c r="E402" s="1" t="s">
        <v>714</v>
      </c>
      <c r="F402" s="10">
        <v>600</v>
      </c>
      <c r="G402" s="7">
        <v>4.4850653909104237</v>
      </c>
      <c r="H402" s="7">
        <v>5.3000562906769204</v>
      </c>
      <c r="I402" s="7">
        <v>5.8513176898373471</v>
      </c>
      <c r="J402" s="7">
        <v>6.5542466231787362</v>
      </c>
      <c r="K402" s="7">
        <v>7.0934140141878501</v>
      </c>
      <c r="L402" s="7">
        <v>7.6700835369466027</v>
      </c>
      <c r="M402" s="7">
        <v>3.3118500517924008</v>
      </c>
      <c r="N402" s="7">
        <v>6.8</v>
      </c>
      <c r="O402" s="7">
        <v>7</v>
      </c>
      <c r="P402" s="7">
        <f t="shared" si="6"/>
        <v>0.20000000000000018</v>
      </c>
      <c r="Q402" s="17">
        <v>40.266033597530274</v>
      </c>
      <c r="R402" s="14">
        <v>46</v>
      </c>
      <c r="S402" s="7">
        <v>5.7339664024697257</v>
      </c>
      <c r="T402" s="8" t="s">
        <v>909</v>
      </c>
    </row>
    <row r="403" spans="1:20">
      <c r="A403" s="5" t="s">
        <v>819</v>
      </c>
      <c r="B403" s="5" t="s">
        <v>820</v>
      </c>
      <c r="C403" s="5" t="s">
        <v>18</v>
      </c>
      <c r="D403" s="5">
        <v>3</v>
      </c>
      <c r="E403" s="1" t="s">
        <v>714</v>
      </c>
      <c r="F403" s="10">
        <v>600</v>
      </c>
      <c r="G403" s="7">
        <v>4.3304079636376498</v>
      </c>
      <c r="H403" s="7">
        <v>5.1172957289294398</v>
      </c>
      <c r="I403" s="7">
        <v>5.6495481143257136</v>
      </c>
      <c r="J403" s="7">
        <v>6.3282381189311927</v>
      </c>
      <c r="K403" s="7">
        <v>6.8488135309399931</v>
      </c>
      <c r="L403" s="7">
        <v>7.4055978977415471</v>
      </c>
      <c r="M403" s="7">
        <v>3.1976483258685247</v>
      </c>
      <c r="N403" s="7">
        <v>4.9000000000000004</v>
      </c>
      <c r="O403" s="7">
        <v>5.6</v>
      </c>
      <c r="P403" s="7">
        <f t="shared" si="6"/>
        <v>0.69999999999999929</v>
      </c>
      <c r="Q403" s="17">
        <v>38.877549680374059</v>
      </c>
      <c r="R403" s="14">
        <v>38</v>
      </c>
      <c r="S403" s="7">
        <v>-0.87754968037405945</v>
      </c>
      <c r="T403" s="8" t="s">
        <v>910</v>
      </c>
    </row>
    <row r="404" spans="1:20">
      <c r="A404" s="5" t="s">
        <v>821</v>
      </c>
      <c r="B404" s="5" t="s">
        <v>822</v>
      </c>
      <c r="C404" s="5" t="s">
        <v>67</v>
      </c>
      <c r="D404" s="5">
        <v>2</v>
      </c>
      <c r="E404" s="1" t="s">
        <v>714</v>
      </c>
      <c r="F404" s="10">
        <v>600</v>
      </c>
      <c r="G404" s="7">
        <v>4.1757505363648777</v>
      </c>
      <c r="H404" s="7">
        <v>4.9345351671819602</v>
      </c>
      <c r="I404" s="7">
        <v>5.4477785388140827</v>
      </c>
      <c r="J404" s="7">
        <v>6.1022296146836501</v>
      </c>
      <c r="K404" s="7">
        <v>6.604213047692137</v>
      </c>
      <c r="L404" s="7">
        <v>7.1411122585364932</v>
      </c>
      <c r="M404" s="7">
        <v>3.0834465999446499</v>
      </c>
      <c r="N404" s="7">
        <v>5.0999999999999996</v>
      </c>
      <c r="O404" s="7">
        <v>6.2</v>
      </c>
      <c r="P404" s="7">
        <f t="shared" si="6"/>
        <v>1.1000000000000005</v>
      </c>
      <c r="Q404" s="17">
        <v>37.489065763217852</v>
      </c>
      <c r="R404" s="14">
        <v>38</v>
      </c>
      <c r="S404" s="7">
        <v>0.51093423678214833</v>
      </c>
      <c r="T404" s="8" t="s">
        <v>909</v>
      </c>
    </row>
    <row r="405" spans="1:20">
      <c r="A405" s="5" t="s">
        <v>823</v>
      </c>
      <c r="B405" s="5" t="s">
        <v>824</v>
      </c>
      <c r="C405" s="5" t="s">
        <v>18</v>
      </c>
      <c r="D405" s="5">
        <v>4</v>
      </c>
      <c r="E405" s="1" t="s">
        <v>714</v>
      </c>
      <c r="F405" s="10">
        <v>600</v>
      </c>
      <c r="G405" s="7">
        <v>4.0210931090921038</v>
      </c>
      <c r="H405" s="7">
        <v>4.7517746054344796</v>
      </c>
      <c r="I405" s="7">
        <v>5.2460089633024491</v>
      </c>
      <c r="J405" s="7">
        <v>5.8762211104361084</v>
      </c>
      <c r="K405" s="7">
        <v>6.35961256444428</v>
      </c>
      <c r="L405" s="7">
        <v>6.8766266193314376</v>
      </c>
      <c r="M405" s="7">
        <v>2.9692448740207729</v>
      </c>
      <c r="N405" s="7">
        <v>8.4</v>
      </c>
      <c r="O405" s="7">
        <v>7.2</v>
      </c>
      <c r="P405" s="7">
        <f t="shared" si="6"/>
        <v>-1.2000000000000002</v>
      </c>
      <c r="Q405" s="17">
        <v>36.10058184606163</v>
      </c>
      <c r="R405" s="14">
        <v>56</v>
      </c>
      <c r="S405" s="7">
        <v>19.89941815393837</v>
      </c>
      <c r="T405" s="8" t="s">
        <v>909</v>
      </c>
    </row>
    <row r="406" spans="1:20">
      <c r="A406" s="5" t="s">
        <v>825</v>
      </c>
      <c r="B406" s="5" t="s">
        <v>826</v>
      </c>
      <c r="C406" s="5" t="s">
        <v>67</v>
      </c>
      <c r="D406" s="5">
        <v>2</v>
      </c>
      <c r="E406" s="1" t="s">
        <v>714</v>
      </c>
      <c r="F406" s="10">
        <v>600</v>
      </c>
      <c r="G406" s="7">
        <v>4.0210931090921038</v>
      </c>
      <c r="H406" s="7">
        <v>4.7517746054344796</v>
      </c>
      <c r="I406" s="7">
        <v>5.2460089633024491</v>
      </c>
      <c r="J406" s="7">
        <v>5.8762211104361084</v>
      </c>
      <c r="K406" s="7">
        <v>6.35961256444428</v>
      </c>
      <c r="L406" s="7">
        <v>6.8766266193314376</v>
      </c>
      <c r="M406" s="7">
        <v>2.9692448740207729</v>
      </c>
      <c r="N406" s="7">
        <v>4.3</v>
      </c>
      <c r="O406" s="7">
        <v>3.8</v>
      </c>
      <c r="P406" s="7">
        <f t="shared" si="6"/>
        <v>-0.5</v>
      </c>
      <c r="Q406" s="17">
        <v>36.10058184606163</v>
      </c>
      <c r="R406" s="14">
        <v>28</v>
      </c>
      <c r="S406" s="7">
        <v>-8.1005818460616297</v>
      </c>
      <c r="T406" s="8" t="s">
        <v>910</v>
      </c>
    </row>
    <row r="407" spans="1:20">
      <c r="A407" s="5" t="s">
        <v>827</v>
      </c>
      <c r="B407" s="5" t="s">
        <v>828</v>
      </c>
      <c r="C407" s="5" t="s">
        <v>67</v>
      </c>
      <c r="D407" s="5">
        <v>1</v>
      </c>
      <c r="E407" s="1" t="s">
        <v>714</v>
      </c>
      <c r="F407" s="10">
        <v>600</v>
      </c>
      <c r="G407" s="7">
        <v>4.0210931090921038</v>
      </c>
      <c r="H407" s="7">
        <v>4.7517746054344796</v>
      </c>
      <c r="I407" s="7">
        <v>5.2460089633024491</v>
      </c>
      <c r="J407" s="7">
        <v>5.8762211104361084</v>
      </c>
      <c r="K407" s="7">
        <v>6.35961256444428</v>
      </c>
      <c r="L407" s="7">
        <v>6.8766266193314376</v>
      </c>
      <c r="M407" s="7">
        <v>2.9692448740207729</v>
      </c>
      <c r="N407" s="7">
        <v>5.3</v>
      </c>
      <c r="O407" s="7">
        <v>6.8</v>
      </c>
      <c r="P407" s="7">
        <f t="shared" si="6"/>
        <v>1.5</v>
      </c>
      <c r="Q407" s="17">
        <v>36.10058184606163</v>
      </c>
      <c r="R407" s="14">
        <v>51</v>
      </c>
      <c r="S407" s="7">
        <v>14.89941815393837</v>
      </c>
      <c r="T407" s="8" t="s">
        <v>909</v>
      </c>
    </row>
    <row r="408" spans="1:20">
      <c r="A408" s="5" t="s">
        <v>829</v>
      </c>
      <c r="B408" s="5" t="s">
        <v>830</v>
      </c>
      <c r="C408" s="5" t="s">
        <v>67</v>
      </c>
      <c r="D408" s="5">
        <v>2</v>
      </c>
      <c r="E408" s="1" t="s">
        <v>714</v>
      </c>
      <c r="F408" s="10">
        <v>600</v>
      </c>
      <c r="G408" s="7">
        <v>4.0210931090921038</v>
      </c>
      <c r="H408" s="7">
        <v>4.7517746054344796</v>
      </c>
      <c r="I408" s="7">
        <v>5.2460089633024491</v>
      </c>
      <c r="J408" s="7">
        <v>5.8762211104361084</v>
      </c>
      <c r="K408" s="7">
        <v>6.35961256444428</v>
      </c>
      <c r="L408" s="7">
        <v>6.8766266193314376</v>
      </c>
      <c r="M408" s="7">
        <v>2.9692448740207729</v>
      </c>
      <c r="N408" s="7">
        <v>3.5</v>
      </c>
      <c r="O408" s="7">
        <v>5.2</v>
      </c>
      <c r="P408" s="7">
        <f t="shared" si="6"/>
        <v>1.7000000000000002</v>
      </c>
      <c r="Q408" s="17">
        <v>36.10058184606163</v>
      </c>
      <c r="R408" s="14">
        <v>32</v>
      </c>
      <c r="S408" s="7">
        <v>-4.1005818460616297</v>
      </c>
      <c r="T408" s="8" t="s">
        <v>910</v>
      </c>
    </row>
    <row r="409" spans="1:20">
      <c r="A409" s="5" t="s">
        <v>831</v>
      </c>
      <c r="B409" s="5" t="s">
        <v>832</v>
      </c>
      <c r="C409" s="5" t="s">
        <v>18</v>
      </c>
      <c r="D409" s="5">
        <v>4</v>
      </c>
      <c r="E409" s="1" t="s">
        <v>714</v>
      </c>
      <c r="F409" s="10">
        <v>600</v>
      </c>
      <c r="G409" s="7">
        <v>3.8664356818193313</v>
      </c>
      <c r="H409" s="7">
        <v>4.5690140436869999</v>
      </c>
      <c r="I409" s="7">
        <v>5.0442393877908174</v>
      </c>
      <c r="J409" s="7">
        <v>5.6502126061885658</v>
      </c>
      <c r="K409" s="7">
        <v>6.1150120811964239</v>
      </c>
      <c r="L409" s="7">
        <v>6.6121409801263837</v>
      </c>
      <c r="M409" s="7">
        <v>2.8550431480968976</v>
      </c>
      <c r="N409" s="7">
        <v>5.3</v>
      </c>
      <c r="O409" s="7">
        <v>4.2</v>
      </c>
      <c r="P409" s="7">
        <f t="shared" si="6"/>
        <v>-1.0999999999999996</v>
      </c>
      <c r="Q409" s="17">
        <v>34.712097928905422</v>
      </c>
      <c r="R409" s="14">
        <v>28</v>
      </c>
      <c r="S409" s="7">
        <v>-6.7120979289054219</v>
      </c>
      <c r="T409" s="8" t="s">
        <v>910</v>
      </c>
    </row>
    <row r="410" spans="1:20">
      <c r="A410" s="5" t="s">
        <v>833</v>
      </c>
      <c r="B410" s="5" t="s">
        <v>834</v>
      </c>
      <c r="C410" s="5" t="s">
        <v>18</v>
      </c>
      <c r="D410" s="5">
        <v>3</v>
      </c>
      <c r="E410" s="1" t="s">
        <v>714</v>
      </c>
      <c r="F410" s="10">
        <v>600</v>
      </c>
      <c r="G410" s="7">
        <v>3.7117782545465574</v>
      </c>
      <c r="H410" s="7">
        <v>4.3862534819395194</v>
      </c>
      <c r="I410" s="7">
        <v>4.8424698122791829</v>
      </c>
      <c r="J410" s="7">
        <v>5.4242041019410223</v>
      </c>
      <c r="K410" s="7">
        <v>5.8704115979485652</v>
      </c>
      <c r="L410" s="7">
        <v>6.3476553409213263</v>
      </c>
      <c r="M410" s="7">
        <v>2.7408414221730206</v>
      </c>
      <c r="N410" s="7">
        <v>4.3</v>
      </c>
      <c r="O410" s="7">
        <v>13.2</v>
      </c>
      <c r="P410" s="7">
        <f t="shared" si="6"/>
        <v>8.8999999999999986</v>
      </c>
      <c r="Q410" s="17">
        <v>33.323614011749193</v>
      </c>
      <c r="R410" s="14">
        <v>84</v>
      </c>
      <c r="S410" s="7">
        <v>50.676385988250807</v>
      </c>
      <c r="T410" s="8" t="s">
        <v>909</v>
      </c>
    </row>
    <row r="411" spans="1:20">
      <c r="A411" s="5" t="s">
        <v>835</v>
      </c>
      <c r="B411" s="5" t="s">
        <v>836</v>
      </c>
      <c r="C411" s="5" t="s">
        <v>67</v>
      </c>
      <c r="D411" s="5">
        <v>1</v>
      </c>
      <c r="E411" s="1" t="s">
        <v>714</v>
      </c>
      <c r="F411" s="10">
        <v>600</v>
      </c>
      <c r="G411" s="7">
        <v>3.7117782545465574</v>
      </c>
      <c r="H411" s="7">
        <v>4.3862534819395194</v>
      </c>
      <c r="I411" s="7">
        <v>4.8424698122791829</v>
      </c>
      <c r="J411" s="7">
        <v>5.4242041019410223</v>
      </c>
      <c r="K411" s="7">
        <v>5.8704115979485652</v>
      </c>
      <c r="L411" s="7">
        <v>6.3476553409213263</v>
      </c>
      <c r="M411" s="7">
        <v>2.7408414221730206</v>
      </c>
      <c r="N411" s="7">
        <v>4.5999999999999996</v>
      </c>
      <c r="O411" s="7">
        <v>7</v>
      </c>
      <c r="P411" s="7">
        <f t="shared" si="6"/>
        <v>2.4000000000000004</v>
      </c>
      <c r="Q411" s="17">
        <v>33.323614011749193</v>
      </c>
      <c r="R411" s="14">
        <v>49</v>
      </c>
      <c r="S411" s="7">
        <v>15.676385988250807</v>
      </c>
      <c r="T411" s="8" t="s">
        <v>909</v>
      </c>
    </row>
    <row r="412" spans="1:20">
      <c r="A412" s="5" t="s">
        <v>837</v>
      </c>
      <c r="B412" s="5" t="s">
        <v>838</v>
      </c>
      <c r="C412" s="5" t="s">
        <v>67</v>
      </c>
      <c r="D412" s="5">
        <v>2</v>
      </c>
      <c r="E412" s="1" t="s">
        <v>714</v>
      </c>
      <c r="F412" s="10">
        <v>600</v>
      </c>
      <c r="G412" s="7">
        <v>3.7117782545465574</v>
      </c>
      <c r="H412" s="7">
        <v>4.3862534819395194</v>
      </c>
      <c r="I412" s="7">
        <v>4.8424698122791829</v>
      </c>
      <c r="J412" s="7">
        <v>5.4242041019410223</v>
      </c>
      <c r="K412" s="7">
        <v>5.8704115979485652</v>
      </c>
      <c r="L412" s="7">
        <v>6.3476553409213263</v>
      </c>
      <c r="M412" s="7">
        <v>2.7408414221730206</v>
      </c>
      <c r="N412" s="7">
        <v>4.4000000000000004</v>
      </c>
      <c r="O412" s="7">
        <v>6.2</v>
      </c>
      <c r="P412" s="7">
        <f t="shared" si="6"/>
        <v>1.7999999999999998</v>
      </c>
      <c r="Q412" s="17">
        <v>33.323614011749193</v>
      </c>
      <c r="R412" s="14">
        <v>45</v>
      </c>
      <c r="S412" s="7">
        <v>11.676385988250807</v>
      </c>
      <c r="T412" s="8" t="s">
        <v>909</v>
      </c>
    </row>
    <row r="413" spans="1:20">
      <c r="A413" s="5" t="s">
        <v>839</v>
      </c>
      <c r="B413" s="5" t="s">
        <v>840</v>
      </c>
      <c r="C413" s="5" t="s">
        <v>18</v>
      </c>
      <c r="D413" s="5">
        <v>3</v>
      </c>
      <c r="E413" s="1" t="s">
        <v>714</v>
      </c>
      <c r="F413" s="10">
        <v>600</v>
      </c>
      <c r="G413" s="7">
        <v>3.5571208272737844</v>
      </c>
      <c r="H413" s="7">
        <v>4.2034929201920397</v>
      </c>
      <c r="I413" s="7">
        <v>4.6407002367675521</v>
      </c>
      <c r="J413" s="7">
        <v>5.1981955976934797</v>
      </c>
      <c r="K413" s="7">
        <v>5.625811114700709</v>
      </c>
      <c r="L413" s="7">
        <v>6.0831697017162716</v>
      </c>
      <c r="M413" s="7">
        <v>2.6266396962491454</v>
      </c>
      <c r="N413" s="7">
        <v>3.8</v>
      </c>
      <c r="O413" s="7">
        <v>5.8</v>
      </c>
      <c r="P413" s="7">
        <f t="shared" si="6"/>
        <v>2</v>
      </c>
      <c r="Q413" s="17">
        <v>31.935130094592985</v>
      </c>
      <c r="R413" s="14">
        <v>92</v>
      </c>
      <c r="S413" s="7">
        <v>60.064869905407015</v>
      </c>
      <c r="T413" s="8" t="s">
        <v>909</v>
      </c>
    </row>
    <row r="414" spans="1:20">
      <c r="A414" s="5" t="s">
        <v>841</v>
      </c>
      <c r="B414" s="5" t="s">
        <v>842</v>
      </c>
      <c r="C414" s="5" t="s">
        <v>18</v>
      </c>
      <c r="D414" s="5">
        <v>3</v>
      </c>
      <c r="E414" s="1" t="s">
        <v>714</v>
      </c>
      <c r="F414" s="10">
        <v>600</v>
      </c>
      <c r="G414" s="7">
        <v>3.5571208272737844</v>
      </c>
      <c r="H414" s="7">
        <v>4.2034929201920397</v>
      </c>
      <c r="I414" s="7">
        <v>4.6407002367675521</v>
      </c>
      <c r="J414" s="7">
        <v>5.1981955976934797</v>
      </c>
      <c r="K414" s="7">
        <v>5.625811114700709</v>
      </c>
      <c r="L414" s="7">
        <v>6.0831697017162716</v>
      </c>
      <c r="M414" s="7">
        <v>2.6266396962491454</v>
      </c>
      <c r="N414" s="7">
        <v>4.5</v>
      </c>
      <c r="O414" s="7">
        <v>4.2</v>
      </c>
      <c r="P414" s="7">
        <f t="shared" si="6"/>
        <v>-0.29999999999999982</v>
      </c>
      <c r="Q414" s="17">
        <v>31.935130094592985</v>
      </c>
      <c r="R414" s="14">
        <v>42</v>
      </c>
      <c r="S414" s="7">
        <v>10.064869905407015</v>
      </c>
      <c r="T414" s="8" t="s">
        <v>909</v>
      </c>
    </row>
    <row r="415" spans="1:20">
      <c r="A415" s="5" t="s">
        <v>843</v>
      </c>
      <c r="B415" s="5" t="s">
        <v>844</v>
      </c>
      <c r="C415" s="5" t="s">
        <v>18</v>
      </c>
      <c r="D415" s="5">
        <v>4</v>
      </c>
      <c r="E415" s="1" t="s">
        <v>714</v>
      </c>
      <c r="F415" s="10">
        <v>600</v>
      </c>
      <c r="G415" s="7">
        <v>3.5571208272737844</v>
      </c>
      <c r="H415" s="7">
        <v>4.2034929201920397</v>
      </c>
      <c r="I415" s="7">
        <v>4.6407002367675521</v>
      </c>
      <c r="J415" s="7">
        <v>5.1981955976934797</v>
      </c>
      <c r="K415" s="7">
        <v>5.625811114700709</v>
      </c>
      <c r="L415" s="7">
        <v>6.0831697017162716</v>
      </c>
      <c r="M415" s="7">
        <v>2.6266396962491454</v>
      </c>
      <c r="N415" s="7">
        <v>5.6</v>
      </c>
      <c r="O415" s="7">
        <v>4</v>
      </c>
      <c r="P415" s="7">
        <f t="shared" si="6"/>
        <v>-1.5999999999999996</v>
      </c>
      <c r="Q415" s="17">
        <v>31.935130094592985</v>
      </c>
      <c r="R415" s="14">
        <v>25</v>
      </c>
      <c r="S415" s="7">
        <v>-6.935130094592985</v>
      </c>
      <c r="T415" s="8" t="s">
        <v>910</v>
      </c>
    </row>
    <row r="416" spans="1:20">
      <c r="A416" s="5" t="s">
        <v>845</v>
      </c>
      <c r="B416" s="5" t="s">
        <v>846</v>
      </c>
      <c r="C416" s="5" t="s">
        <v>67</v>
      </c>
      <c r="D416" s="5">
        <v>1</v>
      </c>
      <c r="E416" s="1" t="s">
        <v>714</v>
      </c>
      <c r="F416" s="10">
        <v>600</v>
      </c>
      <c r="G416" s="7">
        <v>3.5571208272737844</v>
      </c>
      <c r="H416" s="7">
        <v>4.2034929201920397</v>
      </c>
      <c r="I416" s="7">
        <v>4.6407002367675521</v>
      </c>
      <c r="J416" s="7">
        <v>5.1981955976934797</v>
      </c>
      <c r="K416" s="7">
        <v>5.625811114700709</v>
      </c>
      <c r="L416" s="7">
        <v>6.0831697017162716</v>
      </c>
      <c r="M416" s="7">
        <v>2.6266396962491454</v>
      </c>
      <c r="N416" s="7">
        <v>3.5</v>
      </c>
      <c r="O416" s="7">
        <v>5.8</v>
      </c>
      <c r="P416" s="7">
        <f t="shared" si="6"/>
        <v>2.2999999999999998</v>
      </c>
      <c r="Q416" s="17">
        <v>31.935130094592985</v>
      </c>
      <c r="R416" s="14">
        <v>44</v>
      </c>
      <c r="S416" s="7">
        <v>12.064869905407015</v>
      </c>
      <c r="T416" s="8" t="s">
        <v>909</v>
      </c>
    </row>
    <row r="417" spans="1:20">
      <c r="A417" s="5" t="s">
        <v>847</v>
      </c>
      <c r="B417" s="5" t="s">
        <v>848</v>
      </c>
      <c r="C417" s="5" t="s">
        <v>18</v>
      </c>
      <c r="D417" s="5">
        <v>3</v>
      </c>
      <c r="E417" s="1" t="s">
        <v>714</v>
      </c>
      <c r="F417" s="10">
        <v>600</v>
      </c>
      <c r="G417" s="7">
        <v>3.5571208272737844</v>
      </c>
      <c r="H417" s="7">
        <v>4.2034929201920397</v>
      </c>
      <c r="I417" s="7">
        <v>4.6407002367675521</v>
      </c>
      <c r="J417" s="7">
        <v>5.1981955976934797</v>
      </c>
      <c r="K417" s="7">
        <v>5.625811114700709</v>
      </c>
      <c r="L417" s="7">
        <v>6.0831697017162716</v>
      </c>
      <c r="M417" s="7">
        <v>2.6266396962491454</v>
      </c>
      <c r="N417" s="7">
        <v>1.9</v>
      </c>
      <c r="O417" s="7">
        <v>1.2</v>
      </c>
      <c r="P417" s="7">
        <f t="shared" si="6"/>
        <v>-0.7</v>
      </c>
      <c r="Q417" s="17">
        <v>31.935130094592985</v>
      </c>
      <c r="R417" s="14">
        <v>9</v>
      </c>
      <c r="S417" s="7">
        <v>-22.935130094592985</v>
      </c>
      <c r="T417" s="8" t="s">
        <v>910</v>
      </c>
    </row>
    <row r="418" spans="1:20">
      <c r="A418" s="5" t="s">
        <v>849</v>
      </c>
      <c r="B418" s="5" t="s">
        <v>850</v>
      </c>
      <c r="C418" s="5" t="s">
        <v>18</v>
      </c>
      <c r="D418" s="5">
        <v>3</v>
      </c>
      <c r="E418" s="1" t="s">
        <v>714</v>
      </c>
      <c r="F418" s="10">
        <v>600</v>
      </c>
      <c r="G418" s="7">
        <v>3.402463400001011</v>
      </c>
      <c r="H418" s="7">
        <v>4.02073235844456</v>
      </c>
      <c r="I418" s="7">
        <v>4.4389306612559185</v>
      </c>
      <c r="J418" s="7">
        <v>4.972187093445938</v>
      </c>
      <c r="K418" s="7">
        <v>5.3812106314528521</v>
      </c>
      <c r="L418" s="7">
        <v>5.8186840625112159</v>
      </c>
      <c r="M418" s="7">
        <v>2.5124379703252697</v>
      </c>
      <c r="N418" s="7">
        <v>6</v>
      </c>
      <c r="O418" s="7">
        <v>4.4000000000000004</v>
      </c>
      <c r="P418" s="7">
        <f t="shared" si="6"/>
        <v>-1.5999999999999996</v>
      </c>
      <c r="Q418" s="17">
        <v>30.546646177436767</v>
      </c>
      <c r="R418" s="14">
        <v>54</v>
      </c>
      <c r="S418" s="7">
        <v>23.453353822563233</v>
      </c>
      <c r="T418" s="8" t="s">
        <v>909</v>
      </c>
    </row>
    <row r="419" spans="1:20">
      <c r="A419" s="5" t="s">
        <v>851</v>
      </c>
      <c r="B419" s="5" t="s">
        <v>852</v>
      </c>
      <c r="C419" s="5" t="s">
        <v>18</v>
      </c>
      <c r="D419" s="5">
        <v>4</v>
      </c>
      <c r="E419" s="1" t="s">
        <v>714</v>
      </c>
      <c r="F419" s="10">
        <v>600</v>
      </c>
      <c r="G419" s="7">
        <v>3.402463400001011</v>
      </c>
      <c r="H419" s="7">
        <v>4.02073235844456</v>
      </c>
      <c r="I419" s="7">
        <v>4.4389306612559185</v>
      </c>
      <c r="J419" s="7">
        <v>4.972187093445938</v>
      </c>
      <c r="K419" s="7">
        <v>5.3812106314528521</v>
      </c>
      <c r="L419" s="7">
        <v>5.8186840625112159</v>
      </c>
      <c r="M419" s="7">
        <v>2.5124379703252697</v>
      </c>
      <c r="N419" s="7">
        <v>4.9000000000000004</v>
      </c>
      <c r="O419" s="7">
        <v>1</v>
      </c>
      <c r="P419" s="7">
        <f t="shared" si="6"/>
        <v>-3.9000000000000004</v>
      </c>
      <c r="Q419" s="17">
        <v>30.546646177436767</v>
      </c>
      <c r="R419" s="14">
        <v>14</v>
      </c>
      <c r="S419" s="7">
        <v>-16.546646177436767</v>
      </c>
      <c r="T419" s="8" t="s">
        <v>910</v>
      </c>
    </row>
    <row r="420" spans="1:20">
      <c r="A420" s="5" t="s">
        <v>853</v>
      </c>
      <c r="B420" s="5" t="s">
        <v>854</v>
      </c>
      <c r="C420" s="5" t="s">
        <v>67</v>
      </c>
      <c r="D420" s="5">
        <v>2</v>
      </c>
      <c r="E420" s="1" t="s">
        <v>714</v>
      </c>
      <c r="F420" s="10">
        <v>600</v>
      </c>
      <c r="G420" s="7">
        <v>3.402463400001011</v>
      </c>
      <c r="H420" s="7">
        <v>4.02073235844456</v>
      </c>
      <c r="I420" s="7">
        <v>4.4389306612559185</v>
      </c>
      <c r="J420" s="7">
        <v>4.972187093445938</v>
      </c>
      <c r="K420" s="7">
        <v>5.3812106314528521</v>
      </c>
      <c r="L420" s="7">
        <v>5.8186840625112159</v>
      </c>
      <c r="M420" s="7">
        <v>2.5124379703252697</v>
      </c>
      <c r="N420" s="7">
        <v>1.8</v>
      </c>
      <c r="O420" s="7">
        <v>4.5999999999999996</v>
      </c>
      <c r="P420" s="7">
        <f t="shared" si="6"/>
        <v>2.8</v>
      </c>
      <c r="Q420" s="17">
        <v>30.546646177436767</v>
      </c>
      <c r="R420" s="14">
        <v>37</v>
      </c>
      <c r="S420" s="7">
        <v>6.4533538225632334</v>
      </c>
      <c r="T420" s="8" t="s">
        <v>909</v>
      </c>
    </row>
    <row r="421" spans="1:20">
      <c r="A421" s="5" t="s">
        <v>855</v>
      </c>
      <c r="B421" s="5" t="s">
        <v>856</v>
      </c>
      <c r="C421" s="5" t="s">
        <v>18</v>
      </c>
      <c r="D421" s="5">
        <v>3</v>
      </c>
      <c r="E421" s="1" t="s">
        <v>714</v>
      </c>
      <c r="F421" s="10">
        <v>600</v>
      </c>
      <c r="G421" s="7">
        <v>3.2478059727282376</v>
      </c>
      <c r="H421" s="7">
        <v>3.8379717966970799</v>
      </c>
      <c r="I421" s="7">
        <v>4.2371610857442858</v>
      </c>
      <c r="J421" s="7">
        <v>4.7461785891983945</v>
      </c>
      <c r="K421" s="7">
        <v>5.1366101482049951</v>
      </c>
      <c r="L421" s="7">
        <v>5.5541984233061612</v>
      </c>
      <c r="M421" s="7">
        <v>2.3982362444013936</v>
      </c>
      <c r="N421" s="7">
        <v>6.3</v>
      </c>
      <c r="O421" s="7">
        <v>4.2</v>
      </c>
      <c r="P421" s="7">
        <f t="shared" si="6"/>
        <v>-2.0999999999999996</v>
      </c>
      <c r="Q421" s="17">
        <v>29.158162260280545</v>
      </c>
      <c r="R421" s="14">
        <v>31</v>
      </c>
      <c r="S421" s="7">
        <v>1.8418377397194554</v>
      </c>
      <c r="T421" s="8" t="s">
        <v>909</v>
      </c>
    </row>
    <row r="422" spans="1:20">
      <c r="A422" s="5" t="s">
        <v>857</v>
      </c>
      <c r="B422" s="5" t="s">
        <v>858</v>
      </c>
      <c r="C422" s="5" t="s">
        <v>18</v>
      </c>
      <c r="D422" s="5">
        <v>4</v>
      </c>
      <c r="E422" s="1" t="s">
        <v>714</v>
      </c>
      <c r="F422" s="10">
        <v>600</v>
      </c>
      <c r="G422" s="7">
        <v>3.2478059727282376</v>
      </c>
      <c r="H422" s="7">
        <v>3.8379717966970799</v>
      </c>
      <c r="I422" s="7">
        <v>4.2371610857442858</v>
      </c>
      <c r="J422" s="7">
        <v>4.7461785891983945</v>
      </c>
      <c r="K422" s="7">
        <v>5.1366101482049951</v>
      </c>
      <c r="L422" s="7">
        <v>5.5541984233061612</v>
      </c>
      <c r="M422" s="7">
        <v>2.3982362444013936</v>
      </c>
      <c r="N422" s="7">
        <v>4</v>
      </c>
      <c r="O422" s="7">
        <v>3.8</v>
      </c>
      <c r="P422" s="7">
        <f t="shared" si="6"/>
        <v>-0.20000000000000018</v>
      </c>
      <c r="Q422" s="17">
        <v>29.158162260280545</v>
      </c>
      <c r="R422" s="14">
        <v>29</v>
      </c>
      <c r="S422" s="7">
        <v>-0.15816226028054459</v>
      </c>
      <c r="T422" s="8" t="s">
        <v>910</v>
      </c>
    </row>
    <row r="423" spans="1:20">
      <c r="A423" s="5" t="s">
        <v>859</v>
      </c>
      <c r="B423" s="5" t="s">
        <v>860</v>
      </c>
      <c r="C423" s="5" t="s">
        <v>18</v>
      </c>
      <c r="D423" s="5">
        <v>2</v>
      </c>
      <c r="E423" s="1" t="s">
        <v>714</v>
      </c>
      <c r="F423" s="10">
        <v>600</v>
      </c>
      <c r="G423" s="7">
        <v>3.2478059727282376</v>
      </c>
      <c r="H423" s="7">
        <v>3.8379717966970799</v>
      </c>
      <c r="I423" s="7">
        <v>4.2371610857442858</v>
      </c>
      <c r="J423" s="7">
        <v>4.7461785891983945</v>
      </c>
      <c r="K423" s="7">
        <v>5.1366101482049951</v>
      </c>
      <c r="L423" s="7">
        <v>5.5541984233061612</v>
      </c>
      <c r="M423" s="7">
        <v>2.3982362444013936</v>
      </c>
      <c r="N423" s="7">
        <v>5.3</v>
      </c>
      <c r="O423" s="7">
        <v>7</v>
      </c>
      <c r="P423" s="7">
        <f t="shared" si="6"/>
        <v>1.7000000000000002</v>
      </c>
      <c r="Q423" s="17">
        <v>29.158162260280545</v>
      </c>
      <c r="R423" s="14">
        <v>53</v>
      </c>
      <c r="S423" s="7">
        <v>23.841837739719455</v>
      </c>
      <c r="T423" s="8" t="s">
        <v>909</v>
      </c>
    </row>
    <row r="424" spans="1:20">
      <c r="A424" s="5" t="s">
        <v>861</v>
      </c>
      <c r="B424" s="5" t="s">
        <v>862</v>
      </c>
      <c r="C424" s="5" t="s">
        <v>67</v>
      </c>
      <c r="D424" s="5">
        <v>1</v>
      </c>
      <c r="E424" s="1" t="s">
        <v>714</v>
      </c>
      <c r="F424" s="10">
        <v>600</v>
      </c>
      <c r="G424" s="7">
        <v>3.2478059727282376</v>
      </c>
      <c r="H424" s="7">
        <v>3.8379717966970799</v>
      </c>
      <c r="I424" s="7">
        <v>4.2371610857442858</v>
      </c>
      <c r="J424" s="7">
        <v>4.7461785891983945</v>
      </c>
      <c r="K424" s="7">
        <v>5.1366101482049951</v>
      </c>
      <c r="L424" s="7">
        <v>5.5541984233061612</v>
      </c>
      <c r="M424" s="7">
        <v>2.3982362444013936</v>
      </c>
      <c r="N424" s="7">
        <v>2</v>
      </c>
      <c r="O424" s="7">
        <v>5.8</v>
      </c>
      <c r="P424" s="7">
        <f t="shared" si="6"/>
        <v>3.8</v>
      </c>
      <c r="Q424" s="17">
        <v>29.158162260280545</v>
      </c>
      <c r="R424" s="14">
        <v>50</v>
      </c>
      <c r="S424" s="7">
        <v>20.841837739719455</v>
      </c>
      <c r="T424" s="8" t="s">
        <v>909</v>
      </c>
    </row>
    <row r="425" spans="1:20">
      <c r="A425" s="5" t="s">
        <v>863</v>
      </c>
      <c r="B425" s="5" t="s">
        <v>864</v>
      </c>
      <c r="C425" s="5" t="s">
        <v>18</v>
      </c>
      <c r="D425" s="5">
        <v>3</v>
      </c>
      <c r="E425" s="1" t="s">
        <v>714</v>
      </c>
      <c r="F425" s="10">
        <v>600</v>
      </c>
      <c r="G425" s="7">
        <v>3.2478059727282376</v>
      </c>
      <c r="H425" s="7">
        <v>3.8379717966970799</v>
      </c>
      <c r="I425" s="7">
        <v>4.2371610857442858</v>
      </c>
      <c r="J425" s="7">
        <v>4.7461785891983945</v>
      </c>
      <c r="K425" s="7">
        <v>5.1366101482049951</v>
      </c>
      <c r="L425" s="7">
        <v>5.5541984233061612</v>
      </c>
      <c r="M425" s="7">
        <v>2.3982362444013936</v>
      </c>
      <c r="N425" s="7">
        <v>4.2</v>
      </c>
      <c r="O425" s="7">
        <v>5.2</v>
      </c>
      <c r="P425" s="7">
        <f t="shared" si="6"/>
        <v>1</v>
      </c>
      <c r="Q425" s="17">
        <v>29.158162260280545</v>
      </c>
      <c r="R425" s="14">
        <v>48</v>
      </c>
      <c r="S425" s="7">
        <v>18.841837739719455</v>
      </c>
      <c r="T425" s="8" t="s">
        <v>909</v>
      </c>
    </row>
    <row r="426" spans="1:20">
      <c r="A426" s="5" t="s">
        <v>865</v>
      </c>
      <c r="B426" s="5" t="s">
        <v>866</v>
      </c>
      <c r="C426" s="5" t="s">
        <v>18</v>
      </c>
      <c r="D426" s="5">
        <v>4</v>
      </c>
      <c r="E426" s="1" t="s">
        <v>714</v>
      </c>
      <c r="F426" s="10">
        <v>600</v>
      </c>
      <c r="G426" s="7">
        <v>3.2478059727282376</v>
      </c>
      <c r="H426" s="7">
        <v>3.8379717966970799</v>
      </c>
      <c r="I426" s="7">
        <v>4.2371610857442858</v>
      </c>
      <c r="J426" s="7">
        <v>4.7461785891983945</v>
      </c>
      <c r="K426" s="7">
        <v>5.1366101482049951</v>
      </c>
      <c r="L426" s="7">
        <v>5.5541984233061612</v>
      </c>
      <c r="M426" s="7">
        <v>2.3982362444013936</v>
      </c>
      <c r="N426" s="7">
        <v>4.0999999999999996</v>
      </c>
      <c r="O426" s="7">
        <v>2.4</v>
      </c>
      <c r="P426" s="7">
        <f t="shared" si="6"/>
        <v>-1.6999999999999997</v>
      </c>
      <c r="Q426" s="17">
        <v>29.158162260280545</v>
      </c>
      <c r="R426" s="14">
        <v>19</v>
      </c>
      <c r="S426" s="7">
        <v>-10.158162260280545</v>
      </c>
      <c r="T426" s="8" t="s">
        <v>910</v>
      </c>
    </row>
    <row r="427" spans="1:20">
      <c r="A427" s="5" t="s">
        <v>867</v>
      </c>
      <c r="B427" s="5" t="s">
        <v>868</v>
      </c>
      <c r="C427" s="5" t="s">
        <v>18</v>
      </c>
      <c r="D427" s="5">
        <v>3</v>
      </c>
      <c r="E427" s="1" t="s">
        <v>714</v>
      </c>
      <c r="F427" s="10">
        <v>600</v>
      </c>
      <c r="G427" s="7">
        <v>3.2478059727282376</v>
      </c>
      <c r="H427" s="7">
        <v>3.8379717966970799</v>
      </c>
      <c r="I427" s="7">
        <v>4.2371610857442858</v>
      </c>
      <c r="J427" s="7">
        <v>4.7461785891983945</v>
      </c>
      <c r="K427" s="7">
        <v>5.1366101482049951</v>
      </c>
      <c r="L427" s="7">
        <v>5.5541984233061612</v>
      </c>
      <c r="M427" s="7">
        <v>2.3982362444013936</v>
      </c>
      <c r="N427" s="7">
        <v>4.7</v>
      </c>
      <c r="O427" s="7">
        <v>5.2</v>
      </c>
      <c r="P427" s="7">
        <f t="shared" si="6"/>
        <v>0.5</v>
      </c>
      <c r="Q427" s="17">
        <v>29.158162260280545</v>
      </c>
      <c r="R427" s="14">
        <v>35</v>
      </c>
      <c r="S427" s="7">
        <v>5.8418377397194554</v>
      </c>
      <c r="T427" s="8" t="s">
        <v>909</v>
      </c>
    </row>
    <row r="428" spans="1:20">
      <c r="A428" s="5" t="s">
        <v>869</v>
      </c>
      <c r="B428" s="5" t="s">
        <v>870</v>
      </c>
      <c r="C428" s="5" t="s">
        <v>661</v>
      </c>
      <c r="D428" s="5">
        <v>2</v>
      </c>
      <c r="E428" s="1" t="s">
        <v>714</v>
      </c>
      <c r="F428" s="10">
        <v>600</v>
      </c>
      <c r="G428" s="7">
        <v>3.0931485454554646</v>
      </c>
      <c r="H428" s="7">
        <v>3.6552112349496002</v>
      </c>
      <c r="I428" s="7">
        <v>4.0353915102326532</v>
      </c>
      <c r="J428" s="7">
        <v>4.5201700849508519</v>
      </c>
      <c r="K428" s="7">
        <v>4.892009664957139</v>
      </c>
      <c r="L428" s="7">
        <v>5.2897127841011065</v>
      </c>
      <c r="M428" s="7">
        <v>2.2840345184775179</v>
      </c>
      <c r="N428" s="7">
        <v>4.0999999999999996</v>
      </c>
      <c r="O428" s="7">
        <v>6.8</v>
      </c>
      <c r="P428" s="7">
        <f t="shared" si="6"/>
        <v>2.7</v>
      </c>
      <c r="Q428" s="17">
        <v>27.769678343124333</v>
      </c>
      <c r="R428" s="14">
        <v>44</v>
      </c>
      <c r="S428" s="7">
        <v>16.230321656875667</v>
      </c>
      <c r="T428" s="8" t="s">
        <v>909</v>
      </c>
    </row>
    <row r="429" spans="1:20">
      <c r="A429" s="5" t="s">
        <v>871</v>
      </c>
      <c r="B429" s="5" t="s">
        <v>872</v>
      </c>
      <c r="C429" s="5" t="s">
        <v>18</v>
      </c>
      <c r="D429" s="5">
        <v>2</v>
      </c>
      <c r="E429" s="1" t="s">
        <v>714</v>
      </c>
      <c r="F429" s="10">
        <v>600</v>
      </c>
      <c r="G429" s="7">
        <v>3.0931485454554646</v>
      </c>
      <c r="H429" s="7">
        <v>3.6552112349496002</v>
      </c>
      <c r="I429" s="7">
        <v>4.0353915102326532</v>
      </c>
      <c r="J429" s="7">
        <v>4.5201700849508519</v>
      </c>
      <c r="K429" s="7">
        <v>4.892009664957139</v>
      </c>
      <c r="L429" s="7">
        <v>5.2897127841011065</v>
      </c>
      <c r="M429" s="7">
        <v>2.2840345184775179</v>
      </c>
      <c r="N429" s="7">
        <v>4.5999999999999996</v>
      </c>
      <c r="O429" s="7">
        <v>3.4</v>
      </c>
      <c r="P429" s="7">
        <f t="shared" si="6"/>
        <v>-1.1999999999999997</v>
      </c>
      <c r="Q429" s="17">
        <v>27.769678343124333</v>
      </c>
      <c r="R429" s="14">
        <v>26</v>
      </c>
      <c r="S429" s="7">
        <v>-1.7696783431243333</v>
      </c>
      <c r="T429" s="8" t="s">
        <v>910</v>
      </c>
    </row>
    <row r="430" spans="1:20">
      <c r="A430" s="5" t="s">
        <v>873</v>
      </c>
      <c r="B430" s="5" t="s">
        <v>874</v>
      </c>
      <c r="C430" s="5" t="s">
        <v>67</v>
      </c>
      <c r="D430" s="5">
        <v>2</v>
      </c>
      <c r="E430" s="1" t="s">
        <v>714</v>
      </c>
      <c r="F430" s="10">
        <v>600</v>
      </c>
      <c r="G430" s="7">
        <v>3.0931485454554646</v>
      </c>
      <c r="H430" s="7">
        <v>3.6552112349496002</v>
      </c>
      <c r="I430" s="7">
        <v>4.0353915102326532</v>
      </c>
      <c r="J430" s="7">
        <v>4.5201700849508519</v>
      </c>
      <c r="K430" s="7">
        <v>4.892009664957139</v>
      </c>
      <c r="L430" s="7">
        <v>5.2897127841011065</v>
      </c>
      <c r="M430" s="7">
        <v>2.2840345184775179</v>
      </c>
      <c r="N430" s="7">
        <v>4.5999999999999996</v>
      </c>
      <c r="O430" s="7">
        <v>3.6</v>
      </c>
      <c r="P430" s="7">
        <f t="shared" si="6"/>
        <v>-0.99999999999999956</v>
      </c>
      <c r="Q430" s="17">
        <v>27.769678343124333</v>
      </c>
      <c r="R430" s="14">
        <v>32</v>
      </c>
      <c r="S430" s="7">
        <v>4.2303216568756667</v>
      </c>
      <c r="T430" s="8" t="s">
        <v>909</v>
      </c>
    </row>
    <row r="431" spans="1:20">
      <c r="A431" s="5" t="s">
        <v>875</v>
      </c>
      <c r="B431" s="5" t="s">
        <v>876</v>
      </c>
      <c r="C431" s="5" t="s">
        <v>18</v>
      </c>
      <c r="D431" s="5">
        <v>3</v>
      </c>
      <c r="E431" s="1" t="s">
        <v>714</v>
      </c>
      <c r="F431" s="10">
        <v>600</v>
      </c>
      <c r="G431" s="7">
        <v>3.0931485454554646</v>
      </c>
      <c r="H431" s="7">
        <v>3.6552112349496002</v>
      </c>
      <c r="I431" s="7">
        <v>4.0353915102326532</v>
      </c>
      <c r="J431" s="7">
        <v>4.5201700849508519</v>
      </c>
      <c r="K431" s="7">
        <v>4.892009664957139</v>
      </c>
      <c r="L431" s="7">
        <v>5.2897127841011065</v>
      </c>
      <c r="M431" s="7">
        <v>2.2840345184775179</v>
      </c>
      <c r="N431" s="7">
        <v>3.9</v>
      </c>
      <c r="O431" s="7">
        <v>2.6</v>
      </c>
      <c r="P431" s="7">
        <f t="shared" si="6"/>
        <v>-1.2999999999999998</v>
      </c>
      <c r="Q431" s="17">
        <v>27.769678343124333</v>
      </c>
      <c r="R431" s="14">
        <v>18</v>
      </c>
      <c r="S431" s="7">
        <v>-9.7696783431243333</v>
      </c>
      <c r="T431" s="8" t="s">
        <v>910</v>
      </c>
    </row>
    <row r="432" spans="1:20">
      <c r="A432" s="5" t="s">
        <v>877</v>
      </c>
      <c r="B432" s="5" t="s">
        <v>878</v>
      </c>
      <c r="C432" s="5" t="s">
        <v>18</v>
      </c>
      <c r="D432" s="5">
        <v>3</v>
      </c>
      <c r="E432" s="1" t="s">
        <v>714</v>
      </c>
      <c r="F432" s="10">
        <v>600</v>
      </c>
      <c r="G432" s="7">
        <v>2.9384911181826912</v>
      </c>
      <c r="H432" s="7">
        <v>3.4724506732021201</v>
      </c>
      <c r="I432" s="7">
        <v>3.8336219347210205</v>
      </c>
      <c r="J432" s="7">
        <v>4.2941615807033102</v>
      </c>
      <c r="K432" s="7">
        <v>4.647409181709282</v>
      </c>
      <c r="L432" s="7">
        <v>5.0252271448960499</v>
      </c>
      <c r="M432" s="7">
        <v>2.1698327925536423</v>
      </c>
      <c r="N432" s="7">
        <v>3.3</v>
      </c>
      <c r="O432" s="7">
        <v>4.4000000000000004</v>
      </c>
      <c r="P432" s="7">
        <f t="shared" si="6"/>
        <v>1.1000000000000005</v>
      </c>
      <c r="Q432" s="17">
        <v>26.381194425968115</v>
      </c>
      <c r="R432" s="14">
        <v>28</v>
      </c>
      <c r="S432" s="7">
        <v>1.6188055740318852</v>
      </c>
      <c r="T432" s="8" t="s">
        <v>909</v>
      </c>
    </row>
    <row r="433" spans="1:20">
      <c r="A433" s="5" t="s">
        <v>879</v>
      </c>
      <c r="B433" s="5" t="s">
        <v>880</v>
      </c>
      <c r="C433" s="5" t="s">
        <v>67</v>
      </c>
      <c r="D433" s="5">
        <v>2</v>
      </c>
      <c r="E433" s="1" t="s">
        <v>714</v>
      </c>
      <c r="F433" s="10">
        <v>600</v>
      </c>
      <c r="G433" s="7">
        <v>2.9384911181826912</v>
      </c>
      <c r="H433" s="7">
        <v>3.4724506732021201</v>
      </c>
      <c r="I433" s="7">
        <v>3.8336219347210205</v>
      </c>
      <c r="J433" s="7">
        <v>4.2941615807033102</v>
      </c>
      <c r="K433" s="7">
        <v>4.647409181709282</v>
      </c>
      <c r="L433" s="7">
        <v>5.0252271448960499</v>
      </c>
      <c r="M433" s="7">
        <v>2.1698327925536423</v>
      </c>
      <c r="N433" s="7">
        <v>2.2000000000000002</v>
      </c>
      <c r="O433" s="7">
        <v>0.8</v>
      </c>
      <c r="P433" s="7">
        <f t="shared" si="6"/>
        <v>-1.4000000000000001</v>
      </c>
      <c r="Q433" s="17">
        <v>26.381194425968115</v>
      </c>
      <c r="R433" s="14">
        <v>4</v>
      </c>
      <c r="S433" s="7">
        <v>-17.381194425968115</v>
      </c>
      <c r="T433" s="8" t="s">
        <v>910</v>
      </c>
    </row>
    <row r="434" spans="1:20">
      <c r="A434" s="5" t="s">
        <v>881</v>
      </c>
      <c r="B434" s="5" t="s">
        <v>882</v>
      </c>
      <c r="C434" s="5" t="s">
        <v>18</v>
      </c>
      <c r="D434" s="5">
        <v>1</v>
      </c>
      <c r="E434" s="1" t="s">
        <v>714</v>
      </c>
      <c r="F434" s="10">
        <v>600</v>
      </c>
      <c r="G434" s="7">
        <v>2.7838336909099182</v>
      </c>
      <c r="H434" s="7">
        <v>3.2896901114546395</v>
      </c>
      <c r="I434" s="7">
        <v>3.6318523592093879</v>
      </c>
      <c r="J434" s="7">
        <v>4.0681530764557667</v>
      </c>
      <c r="K434" s="7">
        <v>4.4028086984614241</v>
      </c>
      <c r="L434" s="7">
        <v>4.7607415056909943</v>
      </c>
      <c r="M434" s="7">
        <v>2.0556310666297657</v>
      </c>
      <c r="N434" s="7">
        <v>2.1</v>
      </c>
      <c r="O434" s="7">
        <v>2</v>
      </c>
      <c r="P434" s="7">
        <f t="shared" si="6"/>
        <v>-0.10000000000000009</v>
      </c>
      <c r="Q434" s="17">
        <v>24.992710508811896</v>
      </c>
      <c r="R434" s="14">
        <v>14</v>
      </c>
      <c r="S434" s="7">
        <v>-10.992710508811896</v>
      </c>
      <c r="T434" s="8" t="s">
        <v>910</v>
      </c>
    </row>
    <row r="435" spans="1:20">
      <c r="A435" s="5" t="s">
        <v>883</v>
      </c>
      <c r="B435" s="5" t="s">
        <v>884</v>
      </c>
      <c r="C435" s="5" t="s">
        <v>18</v>
      </c>
      <c r="D435" s="5">
        <v>3</v>
      </c>
      <c r="E435" s="1" t="s">
        <v>714</v>
      </c>
      <c r="F435" s="10">
        <v>600</v>
      </c>
      <c r="G435" s="7">
        <v>2.7838336909099182</v>
      </c>
      <c r="H435" s="7">
        <v>3.2896901114546395</v>
      </c>
      <c r="I435" s="7">
        <v>3.6318523592093879</v>
      </c>
      <c r="J435" s="7">
        <v>4.0681530764557667</v>
      </c>
      <c r="K435" s="7">
        <v>4.4028086984614241</v>
      </c>
      <c r="L435" s="7">
        <v>4.7607415056909943</v>
      </c>
      <c r="M435" s="7">
        <v>2.0556310666297657</v>
      </c>
      <c r="N435" s="7">
        <v>4.4000000000000004</v>
      </c>
      <c r="O435" s="7">
        <v>2.2000000000000002</v>
      </c>
      <c r="P435" s="7">
        <f t="shared" si="6"/>
        <v>-2.2000000000000002</v>
      </c>
      <c r="Q435" s="17">
        <v>24.992710508811896</v>
      </c>
      <c r="R435" s="14">
        <v>18</v>
      </c>
      <c r="S435" s="7">
        <v>-6.9927105088118964</v>
      </c>
      <c r="T435" s="8" t="s">
        <v>910</v>
      </c>
    </row>
    <row r="436" spans="1:20">
      <c r="A436" s="5" t="s">
        <v>885</v>
      </c>
      <c r="B436" s="5" t="s">
        <v>886</v>
      </c>
      <c r="C436" s="5" t="s">
        <v>67</v>
      </c>
      <c r="D436" s="5">
        <v>1</v>
      </c>
      <c r="E436" s="1" t="s">
        <v>714</v>
      </c>
      <c r="F436" s="10">
        <v>600</v>
      </c>
      <c r="G436" s="7">
        <v>2.6291762636371447</v>
      </c>
      <c r="H436" s="7">
        <v>3.1069295497071594</v>
      </c>
      <c r="I436" s="7">
        <v>3.4300827836977552</v>
      </c>
      <c r="J436" s="7">
        <v>3.8421445722082241</v>
      </c>
      <c r="K436" s="7">
        <v>4.1582082152135671</v>
      </c>
      <c r="L436" s="7">
        <v>4.4962558664859396</v>
      </c>
      <c r="M436" s="7">
        <v>1.94142934070589</v>
      </c>
      <c r="N436" s="7">
        <v>4.8</v>
      </c>
      <c r="O436" s="7">
        <v>7</v>
      </c>
      <c r="P436" s="7">
        <f t="shared" si="6"/>
        <v>2.2000000000000002</v>
      </c>
      <c r="Q436" s="17">
        <v>23.604226591655678</v>
      </c>
      <c r="R436" s="14">
        <v>43</v>
      </c>
      <c r="S436" s="7">
        <v>19.395773408344322</v>
      </c>
      <c r="T436" s="8" t="s">
        <v>909</v>
      </c>
    </row>
    <row r="437" spans="1:20">
      <c r="A437" s="5" t="s">
        <v>887</v>
      </c>
      <c r="B437" s="5" t="s">
        <v>888</v>
      </c>
      <c r="C437" s="5" t="s">
        <v>18</v>
      </c>
      <c r="D437" s="5">
        <v>4</v>
      </c>
      <c r="E437" s="1" t="s">
        <v>714</v>
      </c>
      <c r="F437" s="10">
        <v>600</v>
      </c>
      <c r="G437" s="7">
        <v>2.6291762636371447</v>
      </c>
      <c r="H437" s="7">
        <v>3.1069295497071594</v>
      </c>
      <c r="I437" s="7">
        <v>3.4300827836977552</v>
      </c>
      <c r="J437" s="7">
        <v>3.8421445722082241</v>
      </c>
      <c r="K437" s="7">
        <v>4.1582082152135671</v>
      </c>
      <c r="L437" s="7">
        <v>4.4962558664859396</v>
      </c>
      <c r="M437" s="7">
        <v>1.94142934070589</v>
      </c>
      <c r="N437" s="7">
        <v>4.5999999999999996</v>
      </c>
      <c r="O437" s="7">
        <v>1.2</v>
      </c>
      <c r="P437" s="7">
        <f t="shared" si="6"/>
        <v>-3.3999999999999995</v>
      </c>
      <c r="Q437" s="17">
        <v>23.604226591655678</v>
      </c>
      <c r="R437" s="14">
        <v>18</v>
      </c>
      <c r="S437" s="7">
        <v>-5.6042265916556779</v>
      </c>
      <c r="T437" s="8" t="s">
        <v>910</v>
      </c>
    </row>
    <row r="438" spans="1:20">
      <c r="A438" s="5" t="s">
        <v>889</v>
      </c>
      <c r="B438" s="5" t="s">
        <v>890</v>
      </c>
      <c r="C438" s="5" t="s">
        <v>18</v>
      </c>
      <c r="D438" s="5">
        <v>4</v>
      </c>
      <c r="E438" s="1" t="s">
        <v>714</v>
      </c>
      <c r="F438" s="10">
        <v>600</v>
      </c>
      <c r="G438" s="7">
        <v>2.6291762636371447</v>
      </c>
      <c r="H438" s="7">
        <v>3.1069295497071594</v>
      </c>
      <c r="I438" s="7">
        <v>3.4300827836977552</v>
      </c>
      <c r="J438" s="7">
        <v>3.8421445722082241</v>
      </c>
      <c r="K438" s="7">
        <v>4.1582082152135671</v>
      </c>
      <c r="L438" s="7">
        <v>4.4962558664859396</v>
      </c>
      <c r="M438" s="7">
        <v>1.94142934070589</v>
      </c>
      <c r="N438" s="7">
        <v>4.3</v>
      </c>
      <c r="O438" s="7">
        <v>2</v>
      </c>
      <c r="P438" s="7">
        <f t="shared" si="6"/>
        <v>-2.2999999999999998</v>
      </c>
      <c r="Q438" s="17">
        <v>23.604226591655678</v>
      </c>
      <c r="R438" s="14">
        <v>19</v>
      </c>
      <c r="S438" s="7">
        <v>-4.6042265916556779</v>
      </c>
      <c r="T438" s="8" t="s">
        <v>910</v>
      </c>
    </row>
    <row r="439" spans="1:20">
      <c r="A439" s="5" t="s">
        <v>891</v>
      </c>
      <c r="B439" s="5" t="s">
        <v>892</v>
      </c>
      <c r="C439" s="5" t="s">
        <v>67</v>
      </c>
      <c r="D439" s="5">
        <v>2</v>
      </c>
      <c r="E439" s="1" t="s">
        <v>714</v>
      </c>
      <c r="F439" s="10">
        <v>600</v>
      </c>
      <c r="G439" s="7">
        <v>2.4745188363643718</v>
      </c>
      <c r="H439" s="7">
        <v>2.9241689879596802</v>
      </c>
      <c r="I439" s="7">
        <v>3.2283132081861226</v>
      </c>
      <c r="J439" s="7">
        <v>3.616136067960682</v>
      </c>
      <c r="K439" s="7">
        <v>3.9136077319657105</v>
      </c>
      <c r="L439" s="7">
        <v>4.2317702272808848</v>
      </c>
      <c r="M439" s="7">
        <v>1.8272276147820143</v>
      </c>
      <c r="N439" s="7">
        <v>2.7</v>
      </c>
      <c r="O439" s="7">
        <v>2.8</v>
      </c>
      <c r="P439" s="7">
        <f t="shared" si="6"/>
        <v>9.9999999999999645E-2</v>
      </c>
      <c r="Q439" s="17">
        <v>22.215742674499463</v>
      </c>
      <c r="R439" s="14">
        <v>18</v>
      </c>
      <c r="S439" s="7">
        <v>-4.215742674499463</v>
      </c>
      <c r="T439" s="8" t="s">
        <v>910</v>
      </c>
    </row>
    <row r="440" spans="1:20">
      <c r="A440" s="5" t="s">
        <v>893</v>
      </c>
      <c r="B440" s="5" t="s">
        <v>894</v>
      </c>
      <c r="C440" s="5" t="s">
        <v>18</v>
      </c>
      <c r="D440" s="5">
        <v>2</v>
      </c>
      <c r="E440" s="1" t="s">
        <v>714</v>
      </c>
      <c r="F440" s="10">
        <v>600</v>
      </c>
      <c r="G440" s="7">
        <v>2.4745188363643718</v>
      </c>
      <c r="H440" s="7">
        <v>2.9241689879596802</v>
      </c>
      <c r="I440" s="7">
        <v>3.2283132081861226</v>
      </c>
      <c r="J440" s="7">
        <v>3.616136067960682</v>
      </c>
      <c r="K440" s="7">
        <v>3.9136077319657105</v>
      </c>
      <c r="L440" s="7">
        <v>4.2317702272808848</v>
      </c>
      <c r="M440" s="7">
        <v>1.8272276147820143</v>
      </c>
      <c r="N440" s="7">
        <v>4.5</v>
      </c>
      <c r="O440" s="7">
        <v>5.4</v>
      </c>
      <c r="P440" s="7">
        <f t="shared" si="6"/>
        <v>0.90000000000000036</v>
      </c>
      <c r="Q440" s="17">
        <v>22.215742674499463</v>
      </c>
      <c r="R440" s="14">
        <v>33</v>
      </c>
      <c r="S440" s="7">
        <v>10.784257325500537</v>
      </c>
      <c r="T440" s="8" t="s">
        <v>909</v>
      </c>
    </row>
    <row r="441" spans="1:20">
      <c r="A441" s="5" t="s">
        <v>895</v>
      </c>
      <c r="B441" s="5" t="s">
        <v>896</v>
      </c>
      <c r="C441" s="5" t="s">
        <v>18</v>
      </c>
      <c r="D441" s="5">
        <v>3</v>
      </c>
      <c r="E441" s="1" t="s">
        <v>714</v>
      </c>
      <c r="F441" s="10">
        <v>600</v>
      </c>
      <c r="G441" s="7">
        <v>2.3198614090915983</v>
      </c>
      <c r="H441" s="7">
        <v>2.7414084262122</v>
      </c>
      <c r="I441" s="7">
        <v>3.0265436326744899</v>
      </c>
      <c r="J441" s="7">
        <v>3.3901275637131394</v>
      </c>
      <c r="K441" s="7">
        <v>3.669007248717854</v>
      </c>
      <c r="L441" s="7">
        <v>3.9672845880758292</v>
      </c>
      <c r="M441" s="7">
        <v>1.7130258888581384</v>
      </c>
      <c r="N441" s="7">
        <v>5.0999999999999996</v>
      </c>
      <c r="O441" s="7">
        <v>3.4</v>
      </c>
      <c r="P441" s="7">
        <f t="shared" si="6"/>
        <v>-1.6999999999999997</v>
      </c>
      <c r="Q441" s="17">
        <v>20.827258757343248</v>
      </c>
      <c r="R441" s="14">
        <v>26</v>
      </c>
      <c r="S441" s="7">
        <v>5.1727412426567518</v>
      </c>
      <c r="T441" s="8" t="s">
        <v>909</v>
      </c>
    </row>
    <row r="442" spans="1:20">
      <c r="A442" s="5" t="s">
        <v>897</v>
      </c>
      <c r="B442" s="5" t="s">
        <v>898</v>
      </c>
      <c r="C442" s="5" t="s">
        <v>67</v>
      </c>
      <c r="D442" s="5">
        <v>2</v>
      </c>
      <c r="E442" s="1" t="s">
        <v>714</v>
      </c>
      <c r="F442" s="10">
        <v>600</v>
      </c>
      <c r="G442" s="7">
        <v>2.3198614090915983</v>
      </c>
      <c r="H442" s="7">
        <v>2.7414084262122</v>
      </c>
      <c r="I442" s="7">
        <v>3.0265436326744899</v>
      </c>
      <c r="J442" s="7">
        <v>3.3901275637131394</v>
      </c>
      <c r="K442" s="7">
        <v>3.669007248717854</v>
      </c>
      <c r="L442" s="7">
        <v>3.9672845880758292</v>
      </c>
      <c r="M442" s="7">
        <v>1.7130258888581384</v>
      </c>
      <c r="N442" s="7">
        <v>4</v>
      </c>
      <c r="O442" s="7">
        <v>5.2</v>
      </c>
      <c r="P442" s="7">
        <f t="shared" si="6"/>
        <v>1.2000000000000002</v>
      </c>
      <c r="Q442" s="17">
        <v>20.827258757343248</v>
      </c>
      <c r="R442" s="14">
        <v>38</v>
      </c>
      <c r="S442" s="7">
        <v>17.172741242656752</v>
      </c>
      <c r="T442" s="8" t="s">
        <v>909</v>
      </c>
    </row>
    <row r="443" spans="1:20">
      <c r="A443" s="5" t="s">
        <v>899</v>
      </c>
      <c r="B443" s="5" t="s">
        <v>900</v>
      </c>
      <c r="C443" s="5" t="s">
        <v>67</v>
      </c>
      <c r="D443" s="5">
        <v>1</v>
      </c>
      <c r="E443" s="1" t="s">
        <v>714</v>
      </c>
      <c r="F443" s="10">
        <v>600</v>
      </c>
      <c r="G443" s="7">
        <v>2.3198614090915983</v>
      </c>
      <c r="H443" s="7">
        <v>2.7414084262122</v>
      </c>
      <c r="I443" s="7">
        <v>3.0265436326744899</v>
      </c>
      <c r="J443" s="7">
        <v>3.3901275637131394</v>
      </c>
      <c r="K443" s="7">
        <v>3.669007248717854</v>
      </c>
      <c r="L443" s="7">
        <v>3.9672845880758292</v>
      </c>
      <c r="M443" s="7">
        <v>1.7130258888581384</v>
      </c>
      <c r="N443" s="7">
        <v>1.9</v>
      </c>
      <c r="O443" s="7">
        <v>1.6</v>
      </c>
      <c r="P443" s="7">
        <f t="shared" si="6"/>
        <v>-0.29999999999999982</v>
      </c>
      <c r="Q443" s="17">
        <v>20.827258757343248</v>
      </c>
      <c r="R443" s="14">
        <v>13</v>
      </c>
      <c r="S443" s="7">
        <v>-7.8272587573432482</v>
      </c>
      <c r="T443" s="8" t="s">
        <v>910</v>
      </c>
    </row>
    <row r="444" spans="1:20">
      <c r="A444" s="5" t="s">
        <v>901</v>
      </c>
      <c r="B444" s="5" t="s">
        <v>902</v>
      </c>
      <c r="C444" s="5" t="s">
        <v>661</v>
      </c>
      <c r="D444" s="5">
        <v>2</v>
      </c>
      <c r="E444" s="1" t="s">
        <v>714</v>
      </c>
      <c r="F444" s="10">
        <v>600</v>
      </c>
      <c r="G444" s="7">
        <v>2.0105465545460519</v>
      </c>
      <c r="H444" s="7">
        <v>2.3758873027172398</v>
      </c>
      <c r="I444" s="7">
        <v>2.6230044816512246</v>
      </c>
      <c r="J444" s="7">
        <v>2.9381105552180542</v>
      </c>
      <c r="K444" s="7">
        <v>3.17980628222214</v>
      </c>
      <c r="L444" s="7">
        <v>3.4383133096657188</v>
      </c>
      <c r="M444" s="7">
        <v>1.4846224370103864</v>
      </c>
      <c r="N444" s="7">
        <v>2.1</v>
      </c>
      <c r="O444" s="7">
        <v>4.4000000000000004</v>
      </c>
      <c r="P444" s="7">
        <f t="shared" si="6"/>
        <v>2.3000000000000003</v>
      </c>
      <c r="Q444" s="17">
        <v>18.050290923030815</v>
      </c>
      <c r="R444" s="14">
        <v>24</v>
      </c>
      <c r="S444" s="7">
        <v>5.9497090769691852</v>
      </c>
      <c r="T444" s="8" t="s">
        <v>909</v>
      </c>
    </row>
    <row r="445" spans="1:20">
      <c r="A445" s="5" t="s">
        <v>903</v>
      </c>
      <c r="B445" s="5" t="s">
        <v>904</v>
      </c>
      <c r="C445" s="5" t="s">
        <v>18</v>
      </c>
      <c r="D445" s="5">
        <v>3</v>
      </c>
      <c r="E445" s="1" t="s">
        <v>714</v>
      </c>
      <c r="F445" s="10">
        <v>600</v>
      </c>
      <c r="G445" s="7">
        <v>1.8558891272732787</v>
      </c>
      <c r="H445" s="7">
        <v>2.1931267409697597</v>
      </c>
      <c r="I445" s="7">
        <v>2.4212349061395915</v>
      </c>
      <c r="J445" s="7">
        <v>2.7121020509705112</v>
      </c>
      <c r="K445" s="7">
        <v>2.9352057989742826</v>
      </c>
      <c r="L445" s="7">
        <v>3.1738276704606632</v>
      </c>
      <c r="M445" s="7">
        <v>1.3704207110865103</v>
      </c>
      <c r="N445" s="7">
        <v>1.4</v>
      </c>
      <c r="O445" s="7">
        <v>0.8</v>
      </c>
      <c r="P445" s="7">
        <f t="shared" si="6"/>
        <v>-0.59999999999999987</v>
      </c>
      <c r="Q445" s="17">
        <v>16.661807005874596</v>
      </c>
      <c r="R445" s="14">
        <v>8</v>
      </c>
      <c r="S445" s="7">
        <v>-8.6618070058745964</v>
      </c>
      <c r="T445" s="8" t="s">
        <v>910</v>
      </c>
    </row>
    <row r="446" spans="1:20">
      <c r="A446" s="5" t="s">
        <v>905</v>
      </c>
      <c r="B446" s="5" t="s">
        <v>906</v>
      </c>
      <c r="C446" s="5" t="s">
        <v>18</v>
      </c>
      <c r="D446" s="5">
        <v>2</v>
      </c>
      <c r="E446" s="1" t="s">
        <v>714</v>
      </c>
      <c r="F446" s="10">
        <v>600</v>
      </c>
      <c r="G446" s="7">
        <v>0.92794456363663935</v>
      </c>
      <c r="H446" s="7">
        <v>1.0965633704848798</v>
      </c>
      <c r="I446" s="7">
        <v>1.2106174530697957</v>
      </c>
      <c r="J446" s="7">
        <v>1.3560510254852556</v>
      </c>
      <c r="K446" s="7">
        <v>1.4676028994871413</v>
      </c>
      <c r="L446" s="7">
        <v>1.5869138352303316</v>
      </c>
      <c r="M446" s="7">
        <v>0.68521035554325516</v>
      </c>
      <c r="N446" s="7">
        <v>0</v>
      </c>
      <c r="O446" s="7">
        <v>0</v>
      </c>
      <c r="P446" s="7">
        <f t="shared" si="6"/>
        <v>0</v>
      </c>
      <c r="Q446" s="17">
        <v>8.3309035029372982</v>
      </c>
      <c r="R446" s="14">
        <v>0</v>
      </c>
      <c r="S446" s="7">
        <v>-8.3309035029372982</v>
      </c>
      <c r="T446" s="8" t="s">
        <v>910</v>
      </c>
    </row>
  </sheetData>
  <autoFilter ref="A1:T446" xr:uid="{3DE128E9-B700-405E-BB13-507CB9B6A70E}">
    <filterColumn colId="13" showButton="0"/>
  </autoFilter>
  <mergeCells count="1">
    <mergeCell ref="N1:O1"/>
  </mergeCells>
  <conditionalFormatting sqref="O2">
    <cfRule type="iconSet" priority="3">
      <iconSet iconSet="3Arrows">
        <cfvo type="percent" val="0"/>
        <cfvo type="num" val="0"/>
        <cfvo type="num" val="0"/>
      </iconSet>
    </cfRule>
  </conditionalFormatting>
  <conditionalFormatting sqref="P4:P446">
    <cfRule type="iconSet" priority="4">
      <iconSet iconSet="3Arrows">
        <cfvo type="percent" val="0"/>
        <cfvo type="num" val="0"/>
        <cfvo type="num" val="0"/>
      </iconSet>
    </cfRule>
  </conditionalFormatting>
  <conditionalFormatting sqref="R2">
    <cfRule type="iconSet" priority="2">
      <iconSet iconSet="3Arrows">
        <cfvo type="percent" val="0"/>
        <cfvo type="num" val="0"/>
        <cfvo type="num" val="0"/>
      </iconSet>
    </cfRule>
  </conditionalFormatting>
  <conditionalFormatting sqref="S4:S446">
    <cfRule type="iconSet" priority="1">
      <iconSet iconSet="3Arrows">
        <cfvo type="percent" val="0"/>
        <cfvo type="num" val="0"/>
        <cfvo type="num" val="0"/>
      </iconSet>
    </cfRule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7F2F3D-E376-450F-AB9F-CB9CA206887C}">
  <dimension ref="A1:E749"/>
  <sheetViews>
    <sheetView tabSelected="1" workbookViewId="0">
      <selection activeCell="C12" sqref="C12"/>
    </sheetView>
  </sheetViews>
  <sheetFormatPr baseColWidth="10" defaultRowHeight="14.25"/>
  <cols>
    <col min="1" max="1" width="9.125" customWidth="1"/>
    <col min="2" max="2" width="9" bestFit="1" customWidth="1"/>
    <col min="3" max="3" width="40.75" bestFit="1" customWidth="1"/>
    <col min="4" max="4" width="12.5" bestFit="1" customWidth="1"/>
    <col min="5" max="5" width="6.625" bestFit="1" customWidth="1"/>
  </cols>
  <sheetData>
    <row r="1" spans="1:5">
      <c r="A1" s="11" t="s">
        <v>914</v>
      </c>
      <c r="B1" s="11" t="s">
        <v>915</v>
      </c>
      <c r="C1" s="11" t="s">
        <v>916</v>
      </c>
      <c r="D1" s="11" t="s">
        <v>913</v>
      </c>
      <c r="E1" s="11" t="s">
        <v>917</v>
      </c>
    </row>
    <row r="2" spans="1:5">
      <c r="A2" s="12">
        <v>10125</v>
      </c>
      <c r="B2" s="13" t="s">
        <v>678</v>
      </c>
      <c r="C2" s="13" t="s">
        <v>679</v>
      </c>
      <c r="D2" t="s">
        <v>909</v>
      </c>
      <c r="E2">
        <v>700</v>
      </c>
    </row>
    <row r="3" spans="1:5">
      <c r="A3" s="12">
        <v>10135</v>
      </c>
      <c r="B3" s="13" t="s">
        <v>895</v>
      </c>
      <c r="C3" s="13" t="s">
        <v>896</v>
      </c>
      <c r="D3" t="s">
        <v>909</v>
      </c>
      <c r="E3">
        <v>600</v>
      </c>
    </row>
    <row r="4" spans="1:5">
      <c r="A4" s="12">
        <v>10281</v>
      </c>
      <c r="B4" s="13" t="s">
        <v>117</v>
      </c>
      <c r="C4" s="13" t="s">
        <v>118</v>
      </c>
      <c r="D4" t="s">
        <v>909</v>
      </c>
      <c r="E4">
        <v>800</v>
      </c>
    </row>
    <row r="5" spans="1:5">
      <c r="A5" s="12">
        <v>10286</v>
      </c>
      <c r="B5" s="13" t="s">
        <v>557</v>
      </c>
      <c r="C5" s="13" t="s">
        <v>558</v>
      </c>
      <c r="D5" t="s">
        <v>909</v>
      </c>
      <c r="E5">
        <v>700</v>
      </c>
    </row>
    <row r="6" spans="1:5">
      <c r="A6" s="12">
        <v>10442</v>
      </c>
      <c r="B6" s="13" t="s">
        <v>317</v>
      </c>
      <c r="C6" s="13" t="s">
        <v>318</v>
      </c>
      <c r="D6" t="s">
        <v>909</v>
      </c>
      <c r="E6">
        <v>700</v>
      </c>
    </row>
    <row r="7" spans="1:5">
      <c r="A7" s="12">
        <v>10503</v>
      </c>
      <c r="B7" s="13" t="s">
        <v>487</v>
      </c>
      <c r="C7" s="13" t="s">
        <v>488</v>
      </c>
      <c r="D7" t="s">
        <v>909</v>
      </c>
      <c r="E7">
        <v>700</v>
      </c>
    </row>
    <row r="8" spans="1:5">
      <c r="A8" s="12">
        <v>10548</v>
      </c>
      <c r="B8" s="13" t="s">
        <v>176</v>
      </c>
      <c r="C8" s="13" t="s">
        <v>177</v>
      </c>
      <c r="D8" t="s">
        <v>909</v>
      </c>
      <c r="E8">
        <v>800</v>
      </c>
    </row>
    <row r="9" spans="1:5">
      <c r="A9" s="12">
        <v>10591</v>
      </c>
      <c r="B9" s="13" t="s">
        <v>41</v>
      </c>
      <c r="C9" s="13" t="s">
        <v>42</v>
      </c>
      <c r="D9" t="s">
        <v>909</v>
      </c>
      <c r="E9">
        <v>1000</v>
      </c>
    </row>
    <row r="10" spans="1:5">
      <c r="A10" s="12">
        <v>10978</v>
      </c>
      <c r="B10" s="13" t="s">
        <v>621</v>
      </c>
      <c r="C10" s="13" t="s">
        <v>622</v>
      </c>
      <c r="D10" t="s">
        <v>909</v>
      </c>
      <c r="E10">
        <v>700</v>
      </c>
    </row>
    <row r="11" spans="1:5">
      <c r="A11" s="12">
        <v>11073</v>
      </c>
      <c r="B11" s="13" t="s">
        <v>575</v>
      </c>
      <c r="C11" s="13" t="s">
        <v>576</v>
      </c>
      <c r="D11" t="s">
        <v>909</v>
      </c>
      <c r="E11">
        <v>700</v>
      </c>
    </row>
    <row r="12" spans="1:5">
      <c r="A12" s="12">
        <v>11085</v>
      </c>
      <c r="B12" s="13" t="s">
        <v>773</v>
      </c>
      <c r="C12" s="13" t="s">
        <v>774</v>
      </c>
      <c r="D12" t="s">
        <v>909</v>
      </c>
      <c r="E12">
        <v>600</v>
      </c>
    </row>
    <row r="13" spans="1:5">
      <c r="A13" s="12">
        <v>11347</v>
      </c>
      <c r="B13" s="13" t="s">
        <v>529</v>
      </c>
      <c r="C13" s="13" t="s">
        <v>530</v>
      </c>
      <c r="D13" t="s">
        <v>909</v>
      </c>
      <c r="E13">
        <v>700</v>
      </c>
    </row>
    <row r="14" spans="1:5">
      <c r="A14" s="12">
        <v>11353</v>
      </c>
      <c r="B14" s="13" t="s">
        <v>735</v>
      </c>
      <c r="C14" s="13" t="s">
        <v>736</v>
      </c>
      <c r="D14" t="s">
        <v>909</v>
      </c>
      <c r="E14">
        <v>600</v>
      </c>
    </row>
    <row r="15" spans="1:5">
      <c r="A15" s="12">
        <v>11556</v>
      </c>
      <c r="B15" s="13" t="s">
        <v>37</v>
      </c>
      <c r="C15" s="13" t="s">
        <v>38</v>
      </c>
      <c r="D15" t="s">
        <v>909</v>
      </c>
      <c r="E15">
        <v>1000</v>
      </c>
    </row>
    <row r="16" spans="1:5">
      <c r="A16" s="12">
        <v>11597</v>
      </c>
      <c r="B16" s="13" t="s">
        <v>68</v>
      </c>
      <c r="C16" s="13" t="s">
        <v>69</v>
      </c>
      <c r="D16" t="s">
        <v>909</v>
      </c>
      <c r="E16">
        <v>1000</v>
      </c>
    </row>
    <row r="17" spans="1:5">
      <c r="A17" s="12">
        <v>11739</v>
      </c>
      <c r="B17" s="13" t="s">
        <v>31</v>
      </c>
      <c r="C17" s="13" t="s">
        <v>32</v>
      </c>
      <c r="D17" t="s">
        <v>909</v>
      </c>
      <c r="E17">
        <v>1000</v>
      </c>
    </row>
    <row r="18" spans="1:5">
      <c r="A18" s="12">
        <v>11954</v>
      </c>
      <c r="B18" s="13" t="s">
        <v>82</v>
      </c>
      <c r="C18" s="13" t="s">
        <v>83</v>
      </c>
      <c r="D18" t="s">
        <v>909</v>
      </c>
      <c r="E18">
        <v>1000</v>
      </c>
    </row>
    <row r="19" spans="1:5">
      <c r="A19" s="12">
        <v>12017</v>
      </c>
      <c r="B19" s="13" t="s">
        <v>142</v>
      </c>
      <c r="C19" s="13" t="s">
        <v>143</v>
      </c>
      <c r="D19" t="s">
        <v>909</v>
      </c>
      <c r="E19">
        <v>800</v>
      </c>
    </row>
    <row r="20" spans="1:5">
      <c r="A20" s="12">
        <v>12220</v>
      </c>
      <c r="B20" s="13" t="s">
        <v>275</v>
      </c>
      <c r="C20" s="13" t="s">
        <v>276</v>
      </c>
      <c r="D20" t="s">
        <v>909</v>
      </c>
      <c r="E20">
        <v>700</v>
      </c>
    </row>
    <row r="21" spans="1:5">
      <c r="A21" s="12">
        <v>12962</v>
      </c>
      <c r="B21" s="13" t="s">
        <v>144</v>
      </c>
      <c r="C21" s="13" t="s">
        <v>145</v>
      </c>
      <c r="D21" t="s">
        <v>909</v>
      </c>
      <c r="E21">
        <v>800</v>
      </c>
    </row>
    <row r="22" spans="1:5">
      <c r="A22" s="12">
        <v>12985</v>
      </c>
      <c r="B22" s="13" t="s">
        <v>244</v>
      </c>
      <c r="C22" s="13" t="s">
        <v>245</v>
      </c>
      <c r="D22" t="s">
        <v>909</v>
      </c>
      <c r="E22">
        <v>800</v>
      </c>
    </row>
    <row r="23" spans="1:5">
      <c r="A23" s="12">
        <v>13140</v>
      </c>
      <c r="B23" s="13" t="s">
        <v>119</v>
      </c>
      <c r="C23" s="13" t="s">
        <v>120</v>
      </c>
      <c r="D23" t="s">
        <v>909</v>
      </c>
      <c r="E23">
        <v>800</v>
      </c>
    </row>
    <row r="24" spans="1:5">
      <c r="A24" s="12">
        <v>13521</v>
      </c>
      <c r="B24" s="13" t="s">
        <v>473</v>
      </c>
      <c r="C24" s="13" t="s">
        <v>474</v>
      </c>
      <c r="D24" t="s">
        <v>909</v>
      </c>
      <c r="E24">
        <v>700</v>
      </c>
    </row>
    <row r="25" spans="1:5">
      <c r="A25" s="12">
        <v>13644</v>
      </c>
      <c r="B25" s="13" t="s">
        <v>485</v>
      </c>
      <c r="C25" s="13" t="s">
        <v>486</v>
      </c>
      <c r="D25" t="s">
        <v>909</v>
      </c>
      <c r="E25">
        <v>700</v>
      </c>
    </row>
    <row r="26" spans="1:5">
      <c r="A26" s="12">
        <v>13763</v>
      </c>
      <c r="B26" s="13" t="s">
        <v>443</v>
      </c>
      <c r="C26" s="13" t="s">
        <v>444</v>
      </c>
      <c r="D26" t="s">
        <v>909</v>
      </c>
      <c r="E26">
        <v>700</v>
      </c>
    </row>
    <row r="27" spans="1:5">
      <c r="A27" s="12">
        <v>13875</v>
      </c>
      <c r="B27" s="13" t="s">
        <v>299</v>
      </c>
      <c r="C27" s="13" t="s">
        <v>300</v>
      </c>
      <c r="D27" t="s">
        <v>909</v>
      </c>
      <c r="E27">
        <v>700</v>
      </c>
    </row>
    <row r="28" spans="1:5">
      <c r="A28" s="12">
        <v>13931</v>
      </c>
      <c r="B28" s="13" t="s">
        <v>174</v>
      </c>
      <c r="C28" s="13" t="s">
        <v>175</v>
      </c>
      <c r="D28" t="s">
        <v>909</v>
      </c>
      <c r="E28">
        <v>800</v>
      </c>
    </row>
    <row r="29" spans="1:5">
      <c r="A29" s="12">
        <v>13984</v>
      </c>
      <c r="B29" s="13" t="s">
        <v>92</v>
      </c>
      <c r="C29" s="13" t="s">
        <v>93</v>
      </c>
      <c r="D29" t="s">
        <v>909</v>
      </c>
      <c r="E29">
        <v>1000</v>
      </c>
    </row>
    <row r="30" spans="1:5">
      <c r="A30" s="12">
        <v>14145</v>
      </c>
      <c r="B30" s="13" t="s">
        <v>489</v>
      </c>
      <c r="C30" s="13" t="s">
        <v>490</v>
      </c>
      <c r="D30" t="s">
        <v>909</v>
      </c>
      <c r="E30">
        <v>700</v>
      </c>
    </row>
    <row r="31" spans="1:5">
      <c r="A31" s="12">
        <v>14221</v>
      </c>
      <c r="B31" s="13" t="s">
        <v>121</v>
      </c>
      <c r="C31" s="13" t="s">
        <v>122</v>
      </c>
      <c r="D31" t="s">
        <v>909</v>
      </c>
      <c r="E31">
        <v>800</v>
      </c>
    </row>
    <row r="32" spans="1:5">
      <c r="A32" s="12">
        <v>14302</v>
      </c>
      <c r="B32" s="13" t="s">
        <v>439</v>
      </c>
      <c r="C32" s="13" t="s">
        <v>440</v>
      </c>
      <c r="D32" t="s">
        <v>909</v>
      </c>
      <c r="E32">
        <v>700</v>
      </c>
    </row>
    <row r="33" spans="1:5">
      <c r="A33" s="12">
        <v>14318</v>
      </c>
      <c r="B33" s="13" t="s">
        <v>176</v>
      </c>
      <c r="C33" s="13" t="s">
        <v>177</v>
      </c>
      <c r="D33" t="s">
        <v>909</v>
      </c>
      <c r="E33">
        <v>800</v>
      </c>
    </row>
    <row r="34" spans="1:5">
      <c r="A34" s="12">
        <v>14577</v>
      </c>
      <c r="B34" s="13" t="s">
        <v>98</v>
      </c>
      <c r="C34" s="13" t="s">
        <v>99</v>
      </c>
      <c r="D34" t="s">
        <v>909</v>
      </c>
      <c r="E34">
        <v>1000</v>
      </c>
    </row>
    <row r="35" spans="1:5">
      <c r="A35" s="12">
        <v>14584</v>
      </c>
      <c r="B35" s="13" t="s">
        <v>725</v>
      </c>
      <c r="C35" s="13" t="s">
        <v>726</v>
      </c>
      <c r="D35" t="s">
        <v>909</v>
      </c>
      <c r="E35">
        <v>600</v>
      </c>
    </row>
    <row r="36" spans="1:5">
      <c r="A36" s="12">
        <v>14609</v>
      </c>
      <c r="B36" s="13" t="s">
        <v>317</v>
      </c>
      <c r="C36" s="13" t="s">
        <v>318</v>
      </c>
      <c r="D36" t="s">
        <v>909</v>
      </c>
      <c r="E36">
        <v>700</v>
      </c>
    </row>
    <row r="37" spans="1:5">
      <c r="A37" s="12">
        <v>14746</v>
      </c>
      <c r="B37" s="13" t="s">
        <v>279</v>
      </c>
      <c r="C37" s="13" t="s">
        <v>280</v>
      </c>
      <c r="D37" t="s">
        <v>909</v>
      </c>
      <c r="E37">
        <v>700</v>
      </c>
    </row>
    <row r="38" spans="1:5">
      <c r="A38" s="12">
        <v>14864</v>
      </c>
      <c r="B38" s="13" t="s">
        <v>146</v>
      </c>
      <c r="C38" s="13" t="s">
        <v>147</v>
      </c>
      <c r="D38" t="s">
        <v>909</v>
      </c>
      <c r="E38">
        <v>800</v>
      </c>
    </row>
    <row r="39" spans="1:5">
      <c r="A39" s="12">
        <v>14975</v>
      </c>
      <c r="B39" s="13" t="s">
        <v>140</v>
      </c>
      <c r="C39" s="13" t="s">
        <v>141</v>
      </c>
      <c r="D39" t="s">
        <v>909</v>
      </c>
      <c r="E39">
        <v>800</v>
      </c>
    </row>
    <row r="40" spans="1:5">
      <c r="A40" s="12">
        <v>15023</v>
      </c>
      <c r="B40" s="13" t="s">
        <v>55</v>
      </c>
      <c r="C40" s="13" t="s">
        <v>56</v>
      </c>
      <c r="D40" t="s">
        <v>909</v>
      </c>
      <c r="E40">
        <v>1000</v>
      </c>
    </row>
    <row r="41" spans="1:5">
      <c r="A41" s="12">
        <v>15138</v>
      </c>
      <c r="B41" s="13" t="s">
        <v>651</v>
      </c>
      <c r="C41" s="13" t="s">
        <v>652</v>
      </c>
      <c r="D41" t="s">
        <v>909</v>
      </c>
      <c r="E41">
        <v>700</v>
      </c>
    </row>
    <row r="42" spans="1:5">
      <c r="A42" s="12">
        <v>15330</v>
      </c>
      <c r="B42" s="13" t="s">
        <v>244</v>
      </c>
      <c r="C42" s="13" t="s">
        <v>245</v>
      </c>
      <c r="D42" t="s">
        <v>909</v>
      </c>
      <c r="E42">
        <v>800</v>
      </c>
    </row>
    <row r="43" spans="1:5">
      <c r="A43" s="12">
        <v>15382</v>
      </c>
      <c r="B43" s="13" t="s">
        <v>583</v>
      </c>
      <c r="C43" s="13" t="s">
        <v>584</v>
      </c>
      <c r="D43" t="s">
        <v>909</v>
      </c>
      <c r="E43">
        <v>700</v>
      </c>
    </row>
    <row r="44" spans="1:5">
      <c r="A44" s="12">
        <v>15442</v>
      </c>
      <c r="B44" s="13" t="s">
        <v>473</v>
      </c>
      <c r="C44" s="13" t="s">
        <v>474</v>
      </c>
      <c r="D44" t="s">
        <v>909</v>
      </c>
      <c r="E44">
        <v>700</v>
      </c>
    </row>
    <row r="45" spans="1:5">
      <c r="A45" s="12">
        <v>15600</v>
      </c>
      <c r="B45" s="13" t="s">
        <v>317</v>
      </c>
      <c r="C45" s="13" t="s">
        <v>318</v>
      </c>
      <c r="D45" t="s">
        <v>909</v>
      </c>
      <c r="E45">
        <v>700</v>
      </c>
    </row>
    <row r="46" spans="1:5">
      <c r="A46" s="12">
        <v>15648</v>
      </c>
      <c r="B46" s="13" t="s">
        <v>439</v>
      </c>
      <c r="C46" s="13" t="s">
        <v>440</v>
      </c>
      <c r="D46" t="s">
        <v>909</v>
      </c>
      <c r="E46">
        <v>700</v>
      </c>
    </row>
    <row r="47" spans="1:5">
      <c r="A47" s="12">
        <v>15734</v>
      </c>
      <c r="B47" s="13" t="s">
        <v>317</v>
      </c>
      <c r="C47" s="13" t="s">
        <v>318</v>
      </c>
      <c r="D47" t="s">
        <v>909</v>
      </c>
      <c r="E47">
        <v>700</v>
      </c>
    </row>
    <row r="48" spans="1:5">
      <c r="A48" s="12">
        <v>15900</v>
      </c>
      <c r="B48" s="13" t="s">
        <v>895</v>
      </c>
      <c r="C48" s="13" t="s">
        <v>896</v>
      </c>
      <c r="D48" t="s">
        <v>909</v>
      </c>
      <c r="E48">
        <v>600</v>
      </c>
    </row>
    <row r="49" spans="1:5">
      <c r="A49" s="12">
        <v>15909</v>
      </c>
      <c r="B49" s="13" t="s">
        <v>869</v>
      </c>
      <c r="C49" s="13" t="s">
        <v>870</v>
      </c>
      <c r="D49" t="s">
        <v>909</v>
      </c>
      <c r="E49">
        <v>600</v>
      </c>
    </row>
    <row r="50" spans="1:5">
      <c r="A50" s="12">
        <v>16274</v>
      </c>
      <c r="B50" s="13" t="s">
        <v>839</v>
      </c>
      <c r="C50" s="13" t="s">
        <v>840</v>
      </c>
      <c r="D50" t="s">
        <v>909</v>
      </c>
      <c r="E50">
        <v>600</v>
      </c>
    </row>
    <row r="51" spans="1:5">
      <c r="A51" s="12">
        <v>16343</v>
      </c>
      <c r="B51" s="13" t="s">
        <v>409</v>
      </c>
      <c r="C51" s="13" t="s">
        <v>410</v>
      </c>
      <c r="D51" t="s">
        <v>909</v>
      </c>
      <c r="E51">
        <v>700</v>
      </c>
    </row>
    <row r="52" spans="1:5">
      <c r="A52" s="12">
        <v>16486</v>
      </c>
      <c r="B52" s="13" t="s">
        <v>347</v>
      </c>
      <c r="C52" s="13" t="s">
        <v>348</v>
      </c>
      <c r="D52" t="s">
        <v>909</v>
      </c>
      <c r="E52">
        <v>700</v>
      </c>
    </row>
    <row r="53" spans="1:5">
      <c r="A53" s="12">
        <v>16517</v>
      </c>
      <c r="B53" s="13" t="s">
        <v>415</v>
      </c>
      <c r="C53" s="13" t="s">
        <v>416</v>
      </c>
      <c r="D53" t="s">
        <v>909</v>
      </c>
      <c r="E53">
        <v>700</v>
      </c>
    </row>
    <row r="54" spans="1:5">
      <c r="A54" s="12">
        <v>16531</v>
      </c>
      <c r="B54" s="13" t="s">
        <v>283</v>
      </c>
      <c r="C54" s="13" t="s">
        <v>284</v>
      </c>
      <c r="D54" t="s">
        <v>909</v>
      </c>
      <c r="E54">
        <v>700</v>
      </c>
    </row>
    <row r="55" spans="1:5">
      <c r="A55" s="12">
        <v>16548</v>
      </c>
      <c r="B55" s="13" t="s">
        <v>57</v>
      </c>
      <c r="C55" s="13" t="s">
        <v>58</v>
      </c>
      <c r="D55" t="s">
        <v>909</v>
      </c>
      <c r="E55">
        <v>1000</v>
      </c>
    </row>
    <row r="56" spans="1:5">
      <c r="A56" s="12">
        <v>16876</v>
      </c>
      <c r="B56" s="13" t="s">
        <v>35</v>
      </c>
      <c r="C56" s="13" t="s">
        <v>36</v>
      </c>
      <c r="D56" t="s">
        <v>909</v>
      </c>
      <c r="E56">
        <v>1000</v>
      </c>
    </row>
    <row r="57" spans="1:5">
      <c r="A57" s="12">
        <v>16879</v>
      </c>
      <c r="B57" s="13" t="s">
        <v>381</v>
      </c>
      <c r="C57" s="13" t="s">
        <v>382</v>
      </c>
      <c r="D57" t="s">
        <v>909</v>
      </c>
      <c r="E57">
        <v>700</v>
      </c>
    </row>
    <row r="58" spans="1:5">
      <c r="A58" s="12">
        <v>16907</v>
      </c>
      <c r="B58" s="13" t="s">
        <v>659</v>
      </c>
      <c r="C58" s="13" t="s">
        <v>660</v>
      </c>
      <c r="D58" t="s">
        <v>909</v>
      </c>
      <c r="E58">
        <v>700</v>
      </c>
    </row>
    <row r="59" spans="1:5">
      <c r="A59" s="12">
        <v>16959</v>
      </c>
      <c r="B59" s="13" t="s">
        <v>533</v>
      </c>
      <c r="C59" s="13" t="s">
        <v>534</v>
      </c>
      <c r="D59" t="s">
        <v>909</v>
      </c>
      <c r="E59">
        <v>700</v>
      </c>
    </row>
    <row r="60" spans="1:5">
      <c r="A60" s="12">
        <v>17221</v>
      </c>
      <c r="B60" s="13" t="s">
        <v>743</v>
      </c>
      <c r="C60" s="13" t="s">
        <v>744</v>
      </c>
      <c r="D60" t="s">
        <v>909</v>
      </c>
      <c r="E60">
        <v>600</v>
      </c>
    </row>
    <row r="61" spans="1:5">
      <c r="A61" s="12">
        <v>17231</v>
      </c>
      <c r="B61" s="13" t="s">
        <v>88</v>
      </c>
      <c r="C61" s="13" t="s">
        <v>89</v>
      </c>
      <c r="D61" t="s">
        <v>909</v>
      </c>
      <c r="E61">
        <v>1000</v>
      </c>
    </row>
    <row r="62" spans="1:5">
      <c r="A62" s="12">
        <v>17273</v>
      </c>
      <c r="B62" s="13" t="s">
        <v>115</v>
      </c>
      <c r="C62" s="13" t="s">
        <v>116</v>
      </c>
      <c r="D62" t="s">
        <v>909</v>
      </c>
      <c r="E62">
        <v>800</v>
      </c>
    </row>
    <row r="63" spans="1:5">
      <c r="A63" s="12">
        <v>17593</v>
      </c>
      <c r="B63" s="13" t="s">
        <v>190</v>
      </c>
      <c r="C63" s="13" t="s">
        <v>191</v>
      </c>
      <c r="D63" t="s">
        <v>909</v>
      </c>
      <c r="E63">
        <v>800</v>
      </c>
    </row>
    <row r="64" spans="1:5">
      <c r="A64" s="12">
        <v>17840</v>
      </c>
      <c r="B64" s="13" t="s">
        <v>21</v>
      </c>
      <c r="C64" s="13" t="s">
        <v>22</v>
      </c>
      <c r="D64" t="s">
        <v>909</v>
      </c>
      <c r="E64">
        <v>1700</v>
      </c>
    </row>
    <row r="65" spans="1:5">
      <c r="A65" s="12">
        <v>18008</v>
      </c>
      <c r="B65" s="13" t="s">
        <v>307</v>
      </c>
      <c r="C65" s="13" t="s">
        <v>308</v>
      </c>
      <c r="D65" t="s">
        <v>909</v>
      </c>
      <c r="E65">
        <v>700</v>
      </c>
    </row>
    <row r="66" spans="1:5">
      <c r="A66" s="12">
        <v>18049</v>
      </c>
      <c r="B66" s="13" t="s">
        <v>281</v>
      </c>
      <c r="C66" s="13" t="s">
        <v>282</v>
      </c>
      <c r="D66" t="s">
        <v>909</v>
      </c>
      <c r="E66">
        <v>700</v>
      </c>
    </row>
    <row r="67" spans="1:5">
      <c r="A67" s="12">
        <v>18306</v>
      </c>
      <c r="B67" s="13" t="s">
        <v>23</v>
      </c>
      <c r="C67" s="13" t="s">
        <v>24</v>
      </c>
      <c r="D67" t="s">
        <v>909</v>
      </c>
      <c r="E67">
        <v>1000</v>
      </c>
    </row>
    <row r="68" spans="1:5">
      <c r="A68" s="12">
        <v>18308</v>
      </c>
      <c r="B68" s="13" t="s">
        <v>405</v>
      </c>
      <c r="C68" s="13" t="s">
        <v>406</v>
      </c>
      <c r="D68" t="s">
        <v>909</v>
      </c>
      <c r="E68">
        <v>700</v>
      </c>
    </row>
    <row r="69" spans="1:5">
      <c r="A69" s="12">
        <v>18379</v>
      </c>
      <c r="B69" s="13" t="s">
        <v>469</v>
      </c>
      <c r="C69" s="13" t="s">
        <v>470</v>
      </c>
      <c r="D69" t="s">
        <v>909</v>
      </c>
      <c r="E69">
        <v>700</v>
      </c>
    </row>
    <row r="70" spans="1:5">
      <c r="A70" s="12">
        <v>18380</v>
      </c>
      <c r="B70" s="13" t="s">
        <v>791</v>
      </c>
      <c r="C70" s="13" t="s">
        <v>792</v>
      </c>
      <c r="D70" t="s">
        <v>909</v>
      </c>
      <c r="E70">
        <v>600</v>
      </c>
    </row>
    <row r="71" spans="1:5">
      <c r="A71" s="12">
        <v>18610</v>
      </c>
      <c r="B71" s="13" t="s">
        <v>601</v>
      </c>
      <c r="C71" s="13" t="s">
        <v>602</v>
      </c>
      <c r="D71" t="s">
        <v>909</v>
      </c>
      <c r="E71">
        <v>700</v>
      </c>
    </row>
    <row r="72" spans="1:5">
      <c r="A72" s="12">
        <v>18769</v>
      </c>
      <c r="B72" s="13" t="s">
        <v>737</v>
      </c>
      <c r="C72" s="13" t="s">
        <v>738</v>
      </c>
      <c r="D72" t="s">
        <v>909</v>
      </c>
      <c r="E72">
        <v>600</v>
      </c>
    </row>
    <row r="73" spans="1:5">
      <c r="A73" s="12">
        <v>1894</v>
      </c>
      <c r="B73" s="13" t="s">
        <v>23</v>
      </c>
      <c r="C73" s="13" t="s">
        <v>24</v>
      </c>
      <c r="D73" t="s">
        <v>909</v>
      </c>
      <c r="E73">
        <v>1000</v>
      </c>
    </row>
    <row r="74" spans="1:5">
      <c r="A74" s="12">
        <v>18962</v>
      </c>
      <c r="B74" s="13" t="s">
        <v>68</v>
      </c>
      <c r="C74" s="13" t="s">
        <v>69</v>
      </c>
      <c r="D74" t="s">
        <v>909</v>
      </c>
      <c r="E74">
        <v>1000</v>
      </c>
    </row>
    <row r="75" spans="1:5">
      <c r="A75" s="12">
        <v>19506</v>
      </c>
      <c r="B75" s="13" t="s">
        <v>541</v>
      </c>
      <c r="C75" s="13" t="s">
        <v>542</v>
      </c>
      <c r="D75" t="s">
        <v>909</v>
      </c>
      <c r="E75">
        <v>700</v>
      </c>
    </row>
    <row r="76" spans="1:5">
      <c r="A76" s="12">
        <v>19572</v>
      </c>
      <c r="B76" s="13" t="s">
        <v>16</v>
      </c>
      <c r="C76" s="13" t="s">
        <v>17</v>
      </c>
      <c r="D76" t="s">
        <v>909</v>
      </c>
      <c r="E76">
        <v>1000</v>
      </c>
    </row>
    <row r="77" spans="1:5">
      <c r="A77" s="12">
        <v>19659</v>
      </c>
      <c r="B77" s="13" t="s">
        <v>212</v>
      </c>
      <c r="C77" s="13" t="s">
        <v>213</v>
      </c>
      <c r="D77" t="s">
        <v>909</v>
      </c>
      <c r="E77">
        <v>800</v>
      </c>
    </row>
    <row r="78" spans="1:5">
      <c r="A78" s="12">
        <v>19665</v>
      </c>
      <c r="B78" s="13" t="s">
        <v>246</v>
      </c>
      <c r="C78" s="13" t="s">
        <v>247</v>
      </c>
      <c r="D78" t="s">
        <v>909</v>
      </c>
      <c r="E78">
        <v>800</v>
      </c>
    </row>
    <row r="79" spans="1:5">
      <c r="A79" s="12">
        <v>19777</v>
      </c>
      <c r="B79" s="13" t="s">
        <v>863</v>
      </c>
      <c r="C79" s="13" t="s">
        <v>864</v>
      </c>
      <c r="D79" t="s">
        <v>909</v>
      </c>
      <c r="E79">
        <v>600</v>
      </c>
    </row>
    <row r="80" spans="1:5">
      <c r="A80" s="12">
        <v>19917</v>
      </c>
      <c r="B80" s="13" t="s">
        <v>228</v>
      </c>
      <c r="C80" s="13" t="s">
        <v>229</v>
      </c>
      <c r="D80" t="s">
        <v>909</v>
      </c>
      <c r="E80">
        <v>800</v>
      </c>
    </row>
    <row r="81" spans="1:5">
      <c r="A81" s="12">
        <v>19988</v>
      </c>
      <c r="B81" s="13" t="s">
        <v>799</v>
      </c>
      <c r="C81" s="13" t="s">
        <v>800</v>
      </c>
      <c r="D81" t="s">
        <v>909</v>
      </c>
      <c r="E81">
        <v>600</v>
      </c>
    </row>
    <row r="82" spans="1:5">
      <c r="A82" s="12">
        <v>19991</v>
      </c>
      <c r="B82" s="13" t="s">
        <v>841</v>
      </c>
      <c r="C82" s="13" t="s">
        <v>842</v>
      </c>
      <c r="D82" t="s">
        <v>909</v>
      </c>
      <c r="E82">
        <v>600</v>
      </c>
    </row>
    <row r="83" spans="1:5">
      <c r="A83" s="12">
        <v>20146</v>
      </c>
      <c r="B83" s="13" t="s">
        <v>127</v>
      </c>
      <c r="C83" s="13" t="s">
        <v>128</v>
      </c>
      <c r="D83" t="s">
        <v>909</v>
      </c>
      <c r="E83">
        <v>800</v>
      </c>
    </row>
    <row r="84" spans="1:5">
      <c r="A84" s="12">
        <v>20348</v>
      </c>
      <c r="B84" s="13" t="s">
        <v>799</v>
      </c>
      <c r="C84" s="13" t="s">
        <v>800</v>
      </c>
      <c r="D84" t="s">
        <v>909</v>
      </c>
      <c r="E84">
        <v>600</v>
      </c>
    </row>
    <row r="85" spans="1:5">
      <c r="A85" s="12">
        <v>20422</v>
      </c>
      <c r="B85" s="13" t="s">
        <v>901</v>
      </c>
      <c r="C85" s="13" t="s">
        <v>918</v>
      </c>
      <c r="D85" t="s">
        <v>909</v>
      </c>
      <c r="E85">
        <v>600</v>
      </c>
    </row>
    <row r="86" spans="1:5">
      <c r="A86" s="12">
        <v>20465</v>
      </c>
      <c r="B86" s="13" t="s">
        <v>381</v>
      </c>
      <c r="C86" s="13" t="s">
        <v>382</v>
      </c>
      <c r="D86" t="s">
        <v>909</v>
      </c>
      <c r="E86">
        <v>700</v>
      </c>
    </row>
    <row r="87" spans="1:5">
      <c r="A87" s="12">
        <v>20530</v>
      </c>
      <c r="B87" s="13" t="s">
        <v>885</v>
      </c>
      <c r="C87" s="13" t="s">
        <v>886</v>
      </c>
      <c r="D87" t="s">
        <v>909</v>
      </c>
      <c r="E87">
        <v>600</v>
      </c>
    </row>
    <row r="88" spans="1:5">
      <c r="A88" s="12">
        <v>20804</v>
      </c>
      <c r="B88" s="13" t="s">
        <v>194</v>
      </c>
      <c r="C88" s="13" t="s">
        <v>195</v>
      </c>
      <c r="D88" t="s">
        <v>909</v>
      </c>
      <c r="E88">
        <v>800</v>
      </c>
    </row>
    <row r="89" spans="1:5">
      <c r="A89" s="12">
        <v>21022</v>
      </c>
      <c r="B89" s="13" t="s">
        <v>119</v>
      </c>
      <c r="C89" s="13" t="s">
        <v>120</v>
      </c>
      <c r="D89" t="s">
        <v>909</v>
      </c>
      <c r="E89">
        <v>800</v>
      </c>
    </row>
    <row r="90" spans="1:5">
      <c r="A90" s="12">
        <v>21110</v>
      </c>
      <c r="B90" s="13" t="s">
        <v>180</v>
      </c>
      <c r="C90" s="13" t="s">
        <v>181</v>
      </c>
      <c r="D90" t="s">
        <v>909</v>
      </c>
      <c r="E90">
        <v>800</v>
      </c>
    </row>
    <row r="91" spans="1:5">
      <c r="A91" s="12">
        <v>21129</v>
      </c>
      <c r="B91" s="13" t="s">
        <v>72</v>
      </c>
      <c r="C91" s="13" t="s">
        <v>73</v>
      </c>
      <c r="D91" t="s">
        <v>909</v>
      </c>
      <c r="E91">
        <v>1000</v>
      </c>
    </row>
    <row r="92" spans="1:5">
      <c r="A92" s="12">
        <v>21201</v>
      </c>
      <c r="B92" s="13" t="s">
        <v>176</v>
      </c>
      <c r="C92" s="13" t="s">
        <v>177</v>
      </c>
      <c r="D92" t="s">
        <v>909</v>
      </c>
      <c r="E92">
        <v>800</v>
      </c>
    </row>
    <row r="93" spans="1:5">
      <c r="A93" s="12">
        <v>21212</v>
      </c>
      <c r="B93" s="13" t="s">
        <v>651</v>
      </c>
      <c r="C93" s="13" t="s">
        <v>652</v>
      </c>
      <c r="D93" t="s">
        <v>909</v>
      </c>
      <c r="E93">
        <v>700</v>
      </c>
    </row>
    <row r="94" spans="1:5">
      <c r="A94" s="12">
        <v>21303</v>
      </c>
      <c r="B94" s="13" t="s">
        <v>76</v>
      </c>
      <c r="C94" s="13" t="s">
        <v>77</v>
      </c>
      <c r="D94" t="s">
        <v>909</v>
      </c>
      <c r="E94">
        <v>1000</v>
      </c>
    </row>
    <row r="95" spans="1:5">
      <c r="A95" s="12">
        <v>21357</v>
      </c>
      <c r="B95" s="13" t="s">
        <v>33</v>
      </c>
      <c r="C95" s="13" t="s">
        <v>34</v>
      </c>
      <c r="D95" t="s">
        <v>909</v>
      </c>
      <c r="E95">
        <v>1000</v>
      </c>
    </row>
    <row r="96" spans="1:5">
      <c r="A96" s="12">
        <v>21368</v>
      </c>
      <c r="B96" s="13" t="s">
        <v>361</v>
      </c>
      <c r="C96" s="13" t="s">
        <v>362</v>
      </c>
      <c r="D96" t="s">
        <v>909</v>
      </c>
      <c r="E96">
        <v>700</v>
      </c>
    </row>
    <row r="97" spans="1:5">
      <c r="A97" s="12">
        <v>21434</v>
      </c>
      <c r="B97" s="13" t="s">
        <v>511</v>
      </c>
      <c r="C97" s="13" t="s">
        <v>512</v>
      </c>
      <c r="D97" t="s">
        <v>909</v>
      </c>
      <c r="E97">
        <v>700</v>
      </c>
    </row>
    <row r="98" spans="1:5">
      <c r="A98" s="12">
        <v>21585</v>
      </c>
      <c r="B98" s="13" t="s">
        <v>501</v>
      </c>
      <c r="C98" s="13" t="s">
        <v>502</v>
      </c>
      <c r="D98" t="s">
        <v>909</v>
      </c>
      <c r="E98">
        <v>700</v>
      </c>
    </row>
    <row r="99" spans="1:5">
      <c r="A99" s="12">
        <v>21776</v>
      </c>
      <c r="B99" s="13" t="s">
        <v>666</v>
      </c>
      <c r="C99" s="13" t="s">
        <v>667</v>
      </c>
      <c r="D99" t="s">
        <v>909</v>
      </c>
      <c r="E99">
        <v>700</v>
      </c>
    </row>
    <row r="100" spans="1:5">
      <c r="A100" s="12">
        <v>21818</v>
      </c>
      <c r="B100" s="13" t="s">
        <v>615</v>
      </c>
      <c r="C100" s="13" t="s">
        <v>616</v>
      </c>
      <c r="D100" t="s">
        <v>909</v>
      </c>
      <c r="E100">
        <v>700</v>
      </c>
    </row>
    <row r="101" spans="1:5">
      <c r="A101" s="12">
        <v>21865</v>
      </c>
      <c r="B101" s="13" t="s">
        <v>501</v>
      </c>
      <c r="C101" s="13" t="s">
        <v>502</v>
      </c>
      <c r="D101" t="s">
        <v>909</v>
      </c>
      <c r="E101">
        <v>700</v>
      </c>
    </row>
    <row r="102" spans="1:5">
      <c r="A102" s="12">
        <v>21976</v>
      </c>
      <c r="B102" s="13" t="s">
        <v>35</v>
      </c>
      <c r="C102" s="13" t="s">
        <v>36</v>
      </c>
      <c r="D102" t="s">
        <v>909</v>
      </c>
      <c r="E102">
        <v>1000</v>
      </c>
    </row>
    <row r="103" spans="1:5">
      <c r="A103" s="12">
        <v>22111</v>
      </c>
      <c r="B103" s="13" t="s">
        <v>57</v>
      </c>
      <c r="C103" s="13" t="s">
        <v>58</v>
      </c>
      <c r="D103" t="s">
        <v>909</v>
      </c>
      <c r="E103">
        <v>1000</v>
      </c>
    </row>
    <row r="104" spans="1:5">
      <c r="A104" s="12">
        <v>22112</v>
      </c>
      <c r="B104" s="13" t="s">
        <v>855</v>
      </c>
      <c r="C104" s="13" t="s">
        <v>856</v>
      </c>
      <c r="D104" t="s">
        <v>909</v>
      </c>
      <c r="E104">
        <v>600</v>
      </c>
    </row>
    <row r="105" spans="1:5">
      <c r="A105" s="12">
        <v>22207</v>
      </c>
      <c r="B105" s="13" t="s">
        <v>419</v>
      </c>
      <c r="C105" s="13" t="s">
        <v>420</v>
      </c>
      <c r="D105" t="s">
        <v>909</v>
      </c>
      <c r="E105">
        <v>700</v>
      </c>
    </row>
    <row r="106" spans="1:5">
      <c r="A106" s="12">
        <v>22219</v>
      </c>
      <c r="B106" s="13" t="s">
        <v>676</v>
      </c>
      <c r="C106" s="13" t="s">
        <v>677</v>
      </c>
      <c r="D106" t="s">
        <v>909</v>
      </c>
      <c r="E106">
        <v>700</v>
      </c>
    </row>
    <row r="107" spans="1:5">
      <c r="A107" s="12">
        <v>22251</v>
      </c>
      <c r="B107" s="13" t="s">
        <v>21</v>
      </c>
      <c r="C107" s="13" t="s">
        <v>22</v>
      </c>
      <c r="D107" t="s">
        <v>909</v>
      </c>
      <c r="E107">
        <v>1000</v>
      </c>
    </row>
    <row r="108" spans="1:5">
      <c r="A108" s="12">
        <v>22275</v>
      </c>
      <c r="B108" s="13" t="s">
        <v>692</v>
      </c>
      <c r="C108" s="13" t="s">
        <v>693</v>
      </c>
      <c r="D108" t="s">
        <v>909</v>
      </c>
      <c r="E108">
        <v>700</v>
      </c>
    </row>
    <row r="109" spans="1:5">
      <c r="A109" s="12">
        <v>22647</v>
      </c>
      <c r="B109" s="13" t="s">
        <v>835</v>
      </c>
      <c r="C109" s="13" t="s">
        <v>836</v>
      </c>
      <c r="D109" t="s">
        <v>909</v>
      </c>
      <c r="E109">
        <v>600</v>
      </c>
    </row>
    <row r="110" spans="1:5">
      <c r="A110" s="12">
        <v>22689</v>
      </c>
      <c r="B110" s="13" t="s">
        <v>68</v>
      </c>
      <c r="C110" s="13" t="s">
        <v>69</v>
      </c>
      <c r="D110" t="s">
        <v>909</v>
      </c>
      <c r="E110">
        <v>1000</v>
      </c>
    </row>
    <row r="111" spans="1:5">
      <c r="A111" s="12">
        <v>22741</v>
      </c>
      <c r="B111" s="13" t="s">
        <v>138</v>
      </c>
      <c r="C111" s="13" t="s">
        <v>139</v>
      </c>
      <c r="D111" t="s">
        <v>909</v>
      </c>
      <c r="E111">
        <v>800</v>
      </c>
    </row>
    <row r="112" spans="1:5">
      <c r="A112" s="12">
        <v>22765</v>
      </c>
      <c r="B112" s="13" t="s">
        <v>172</v>
      </c>
      <c r="C112" s="13" t="s">
        <v>173</v>
      </c>
      <c r="D112" t="s">
        <v>909</v>
      </c>
      <c r="E112">
        <v>800</v>
      </c>
    </row>
    <row r="113" spans="1:5">
      <c r="A113" s="12">
        <v>22831</v>
      </c>
      <c r="B113" s="13" t="s">
        <v>76</v>
      </c>
      <c r="C113" s="13" t="s">
        <v>77</v>
      </c>
      <c r="D113" t="s">
        <v>909</v>
      </c>
      <c r="E113">
        <v>1000</v>
      </c>
    </row>
    <row r="114" spans="1:5">
      <c r="A114" s="12">
        <v>22989</v>
      </c>
      <c r="B114" s="13" t="s">
        <v>39</v>
      </c>
      <c r="C114" s="13" t="s">
        <v>40</v>
      </c>
      <c r="D114" t="s">
        <v>909</v>
      </c>
      <c r="E114">
        <v>1000</v>
      </c>
    </row>
    <row r="115" spans="1:5">
      <c r="A115" s="12">
        <v>23066</v>
      </c>
      <c r="B115" s="13" t="s">
        <v>236</v>
      </c>
      <c r="C115" s="13" t="s">
        <v>237</v>
      </c>
      <c r="D115" t="s">
        <v>909</v>
      </c>
      <c r="E115">
        <v>800</v>
      </c>
    </row>
    <row r="116" spans="1:5">
      <c r="A116" s="12">
        <v>23089</v>
      </c>
      <c r="B116" s="13" t="s">
        <v>82</v>
      </c>
      <c r="C116" s="13" t="s">
        <v>83</v>
      </c>
      <c r="D116" t="s">
        <v>909</v>
      </c>
      <c r="E116">
        <v>1000</v>
      </c>
    </row>
    <row r="117" spans="1:5">
      <c r="A117" s="12">
        <v>23117</v>
      </c>
      <c r="B117" s="13" t="s">
        <v>190</v>
      </c>
      <c r="C117" s="13" t="s">
        <v>191</v>
      </c>
      <c r="D117" t="s">
        <v>909</v>
      </c>
      <c r="E117">
        <v>800</v>
      </c>
    </row>
    <row r="118" spans="1:5">
      <c r="A118" s="12">
        <v>23183</v>
      </c>
      <c r="B118" s="13" t="s">
        <v>623</v>
      </c>
      <c r="C118" s="13" t="s">
        <v>624</v>
      </c>
      <c r="D118" t="s">
        <v>909</v>
      </c>
      <c r="E118">
        <v>700</v>
      </c>
    </row>
    <row r="119" spans="1:5">
      <c r="A119" s="12">
        <v>23201</v>
      </c>
      <c r="B119" s="13" t="s">
        <v>31</v>
      </c>
      <c r="C119" s="13" t="s">
        <v>32</v>
      </c>
      <c r="D119" t="s">
        <v>909</v>
      </c>
      <c r="E119">
        <v>1000</v>
      </c>
    </row>
    <row r="120" spans="1:5">
      <c r="A120" s="12">
        <v>23227</v>
      </c>
      <c r="B120" s="13" t="s">
        <v>55</v>
      </c>
      <c r="C120" s="13" t="s">
        <v>56</v>
      </c>
      <c r="D120" t="s">
        <v>909</v>
      </c>
      <c r="E120">
        <v>1000</v>
      </c>
    </row>
    <row r="121" spans="1:5">
      <c r="A121" s="12">
        <v>23242</v>
      </c>
      <c r="B121" s="13" t="s">
        <v>541</v>
      </c>
      <c r="C121" s="13" t="s">
        <v>542</v>
      </c>
      <c r="D121" t="s">
        <v>909</v>
      </c>
      <c r="E121">
        <v>700</v>
      </c>
    </row>
    <row r="122" spans="1:5">
      <c r="A122" s="12">
        <v>23276</v>
      </c>
      <c r="B122" s="13" t="s">
        <v>92</v>
      </c>
      <c r="C122" s="13" t="s">
        <v>93</v>
      </c>
      <c r="D122" t="s">
        <v>909</v>
      </c>
      <c r="E122">
        <v>1000</v>
      </c>
    </row>
    <row r="123" spans="1:5">
      <c r="A123" s="12">
        <v>23290</v>
      </c>
      <c r="B123" s="13" t="s">
        <v>769</v>
      </c>
      <c r="C123" s="13" t="s">
        <v>770</v>
      </c>
      <c r="D123" t="s">
        <v>909</v>
      </c>
      <c r="E123">
        <v>600</v>
      </c>
    </row>
    <row r="124" spans="1:5">
      <c r="A124" s="12">
        <v>23386</v>
      </c>
      <c r="B124" s="13" t="s">
        <v>837</v>
      </c>
      <c r="C124" s="13" t="s">
        <v>838</v>
      </c>
      <c r="D124" t="s">
        <v>909</v>
      </c>
      <c r="E124">
        <v>600</v>
      </c>
    </row>
    <row r="125" spans="1:5">
      <c r="A125" s="12">
        <v>23676</v>
      </c>
      <c r="B125" s="13" t="s">
        <v>68</v>
      </c>
      <c r="C125" s="13" t="s">
        <v>69</v>
      </c>
      <c r="D125" t="s">
        <v>909</v>
      </c>
      <c r="E125">
        <v>1000</v>
      </c>
    </row>
    <row r="126" spans="1:5">
      <c r="A126" s="12">
        <v>23724</v>
      </c>
      <c r="B126" s="13" t="s">
        <v>351</v>
      </c>
      <c r="C126" s="13" t="s">
        <v>352</v>
      </c>
      <c r="D126" t="s">
        <v>909</v>
      </c>
      <c r="E126">
        <v>700</v>
      </c>
    </row>
    <row r="127" spans="1:5">
      <c r="A127" s="12">
        <v>23748</v>
      </c>
      <c r="B127" s="13" t="s">
        <v>35</v>
      </c>
      <c r="C127" s="13" t="s">
        <v>36</v>
      </c>
      <c r="D127" t="s">
        <v>909</v>
      </c>
      <c r="E127">
        <v>1000</v>
      </c>
    </row>
    <row r="128" spans="1:5">
      <c r="A128" s="12">
        <v>23809</v>
      </c>
      <c r="B128" s="13" t="s">
        <v>535</v>
      </c>
      <c r="C128" s="13" t="s">
        <v>536</v>
      </c>
      <c r="D128" t="s">
        <v>909</v>
      </c>
      <c r="E128">
        <v>700</v>
      </c>
    </row>
    <row r="129" spans="1:5">
      <c r="A129" s="12">
        <v>23840</v>
      </c>
      <c r="B129" s="13" t="s">
        <v>735</v>
      </c>
      <c r="C129" s="13" t="s">
        <v>736</v>
      </c>
      <c r="D129" t="s">
        <v>909</v>
      </c>
      <c r="E129">
        <v>600</v>
      </c>
    </row>
    <row r="130" spans="1:5">
      <c r="A130" s="12">
        <v>23860</v>
      </c>
      <c r="B130" s="13" t="s">
        <v>417</v>
      </c>
      <c r="C130" s="13" t="s">
        <v>418</v>
      </c>
      <c r="D130" t="s">
        <v>909</v>
      </c>
      <c r="E130">
        <v>700</v>
      </c>
    </row>
    <row r="131" spans="1:5">
      <c r="A131" s="12">
        <v>23871</v>
      </c>
      <c r="B131" s="13" t="s">
        <v>345</v>
      </c>
      <c r="C131" s="13" t="s">
        <v>346</v>
      </c>
      <c r="D131" t="s">
        <v>909</v>
      </c>
      <c r="E131">
        <v>700</v>
      </c>
    </row>
    <row r="132" spans="1:5">
      <c r="A132" s="12">
        <v>24105</v>
      </c>
      <c r="B132" s="13" t="s">
        <v>313</v>
      </c>
      <c r="C132" s="13" t="s">
        <v>314</v>
      </c>
      <c r="D132" t="s">
        <v>909</v>
      </c>
      <c r="E132">
        <v>700</v>
      </c>
    </row>
    <row r="133" spans="1:5">
      <c r="A133" s="12">
        <v>24305</v>
      </c>
      <c r="B133" s="13" t="s">
        <v>419</v>
      </c>
      <c r="C133" s="13" t="s">
        <v>420</v>
      </c>
      <c r="D133" t="s">
        <v>909</v>
      </c>
      <c r="E133">
        <v>700</v>
      </c>
    </row>
    <row r="134" spans="1:5">
      <c r="A134" s="12">
        <v>24319</v>
      </c>
      <c r="B134" s="13" t="s">
        <v>70</v>
      </c>
      <c r="C134" s="13" t="s">
        <v>71</v>
      </c>
      <c r="D134" t="s">
        <v>909</v>
      </c>
      <c r="E134">
        <v>1000</v>
      </c>
    </row>
    <row r="135" spans="1:5">
      <c r="A135" s="12">
        <v>24367</v>
      </c>
      <c r="B135" s="13" t="s">
        <v>16</v>
      </c>
      <c r="C135" s="13" t="s">
        <v>17</v>
      </c>
      <c r="D135" t="s">
        <v>909</v>
      </c>
      <c r="E135">
        <v>1000</v>
      </c>
    </row>
    <row r="136" spans="1:5">
      <c r="A136" s="12">
        <v>24548</v>
      </c>
      <c r="B136" s="13" t="s">
        <v>33</v>
      </c>
      <c r="C136" s="13" t="s">
        <v>34</v>
      </c>
      <c r="D136" t="s">
        <v>909</v>
      </c>
      <c r="E136">
        <v>1000</v>
      </c>
    </row>
    <row r="137" spans="1:5">
      <c r="A137" s="12">
        <v>24664</v>
      </c>
      <c r="B137" s="13" t="s">
        <v>481</v>
      </c>
      <c r="C137" s="13" t="s">
        <v>482</v>
      </c>
      <c r="D137" t="s">
        <v>909</v>
      </c>
      <c r="E137">
        <v>700</v>
      </c>
    </row>
    <row r="138" spans="1:5">
      <c r="A138" s="12">
        <v>24666</v>
      </c>
      <c r="B138" s="13" t="s">
        <v>301</v>
      </c>
      <c r="C138" s="13" t="s">
        <v>302</v>
      </c>
      <c r="D138" t="s">
        <v>909</v>
      </c>
      <c r="E138">
        <v>700</v>
      </c>
    </row>
    <row r="139" spans="1:5">
      <c r="A139" s="12">
        <v>24800</v>
      </c>
      <c r="B139" s="13" t="s">
        <v>793</v>
      </c>
      <c r="C139" s="13" t="s">
        <v>794</v>
      </c>
      <c r="D139" t="s">
        <v>909</v>
      </c>
      <c r="E139">
        <v>600</v>
      </c>
    </row>
    <row r="140" spans="1:5">
      <c r="A140" s="12">
        <v>24829</v>
      </c>
      <c r="B140" s="13" t="s">
        <v>164</v>
      </c>
      <c r="C140" s="13" t="s">
        <v>165</v>
      </c>
      <c r="D140" t="s">
        <v>909</v>
      </c>
      <c r="E140">
        <v>800</v>
      </c>
    </row>
    <row r="141" spans="1:5">
      <c r="A141" s="12">
        <v>25059</v>
      </c>
      <c r="B141" s="13" t="s">
        <v>148</v>
      </c>
      <c r="C141" s="13" t="s">
        <v>149</v>
      </c>
      <c r="D141" t="s">
        <v>909</v>
      </c>
      <c r="E141">
        <v>800</v>
      </c>
    </row>
    <row r="142" spans="1:5">
      <c r="A142" s="12">
        <v>25103</v>
      </c>
      <c r="B142" s="13" t="s">
        <v>25</v>
      </c>
      <c r="C142" s="13" t="s">
        <v>26</v>
      </c>
      <c r="D142" t="s">
        <v>909</v>
      </c>
      <c r="E142">
        <v>1000</v>
      </c>
    </row>
    <row r="143" spans="1:5">
      <c r="A143" s="12">
        <v>25126</v>
      </c>
      <c r="B143" s="13" t="s">
        <v>655</v>
      </c>
      <c r="C143" s="13" t="s">
        <v>656</v>
      </c>
      <c r="D143" t="s">
        <v>909</v>
      </c>
      <c r="E143">
        <v>700</v>
      </c>
    </row>
    <row r="144" spans="1:5">
      <c r="A144" s="12">
        <v>25148</v>
      </c>
      <c r="B144" s="13" t="s">
        <v>45</v>
      </c>
      <c r="C144" s="13" t="s">
        <v>46</v>
      </c>
      <c r="D144" t="s">
        <v>909</v>
      </c>
      <c r="E144">
        <v>1000</v>
      </c>
    </row>
    <row r="145" spans="1:5">
      <c r="A145" s="12">
        <v>25170</v>
      </c>
      <c r="B145" s="13" t="s">
        <v>431</v>
      </c>
      <c r="C145" s="13" t="s">
        <v>432</v>
      </c>
      <c r="D145" t="s">
        <v>909</v>
      </c>
      <c r="E145">
        <v>700</v>
      </c>
    </row>
    <row r="146" spans="1:5">
      <c r="A146" s="12">
        <v>25184</v>
      </c>
      <c r="B146" s="13" t="s">
        <v>755</v>
      </c>
      <c r="C146" s="13" t="s">
        <v>756</v>
      </c>
      <c r="D146" t="s">
        <v>909</v>
      </c>
      <c r="E146">
        <v>600</v>
      </c>
    </row>
    <row r="147" spans="1:5">
      <c r="A147" s="12">
        <v>25225</v>
      </c>
      <c r="B147" s="13" t="s">
        <v>367</v>
      </c>
      <c r="C147" s="13" t="s">
        <v>368</v>
      </c>
      <c r="D147" t="s">
        <v>909</v>
      </c>
      <c r="E147">
        <v>700</v>
      </c>
    </row>
    <row r="148" spans="1:5">
      <c r="A148" s="12">
        <v>25273</v>
      </c>
      <c r="B148" s="13" t="s">
        <v>645</v>
      </c>
      <c r="C148" s="13" t="s">
        <v>646</v>
      </c>
      <c r="D148" t="s">
        <v>909</v>
      </c>
      <c r="E148">
        <v>700</v>
      </c>
    </row>
    <row r="149" spans="1:5">
      <c r="A149" s="12">
        <v>25295</v>
      </c>
      <c r="B149" s="13" t="s">
        <v>45</v>
      </c>
      <c r="C149" s="13" t="s">
        <v>46</v>
      </c>
      <c r="D149" t="s">
        <v>909</v>
      </c>
      <c r="E149">
        <v>1000</v>
      </c>
    </row>
    <row r="150" spans="1:5">
      <c r="A150" s="12">
        <v>25309</v>
      </c>
      <c r="B150" s="13" t="s">
        <v>51</v>
      </c>
      <c r="C150" s="13" t="s">
        <v>52</v>
      </c>
      <c r="D150" t="s">
        <v>909</v>
      </c>
      <c r="E150">
        <v>1000</v>
      </c>
    </row>
    <row r="151" spans="1:5">
      <c r="A151" s="12">
        <v>25337</v>
      </c>
      <c r="B151" s="13" t="s">
        <v>174</v>
      </c>
      <c r="C151" s="13" t="s">
        <v>175</v>
      </c>
      <c r="D151" t="s">
        <v>909</v>
      </c>
      <c r="E151">
        <v>800</v>
      </c>
    </row>
    <row r="152" spans="1:5">
      <c r="A152" s="12">
        <v>25386</v>
      </c>
      <c r="B152" s="13" t="s">
        <v>645</v>
      </c>
      <c r="C152" s="13" t="s">
        <v>646</v>
      </c>
      <c r="D152" t="s">
        <v>909</v>
      </c>
      <c r="E152">
        <v>700</v>
      </c>
    </row>
    <row r="153" spans="1:5">
      <c r="A153" s="12">
        <v>25477</v>
      </c>
      <c r="B153" s="13" t="s">
        <v>68</v>
      </c>
      <c r="C153" s="13" t="s">
        <v>69</v>
      </c>
      <c r="D153" t="s">
        <v>909</v>
      </c>
      <c r="E153">
        <v>1000</v>
      </c>
    </row>
    <row r="154" spans="1:5">
      <c r="A154" s="12">
        <v>25487</v>
      </c>
      <c r="B154" s="13" t="s">
        <v>47</v>
      </c>
      <c r="C154" s="13" t="s">
        <v>48</v>
      </c>
      <c r="D154" t="s">
        <v>909</v>
      </c>
      <c r="E154">
        <v>1000</v>
      </c>
    </row>
    <row r="155" spans="1:5">
      <c r="A155" s="12">
        <v>25491</v>
      </c>
      <c r="B155" s="13" t="s">
        <v>573</v>
      </c>
      <c r="C155" s="13" t="s">
        <v>574</v>
      </c>
      <c r="D155" t="s">
        <v>909</v>
      </c>
      <c r="E155">
        <v>700</v>
      </c>
    </row>
    <row r="156" spans="1:5">
      <c r="A156" s="12">
        <v>25857</v>
      </c>
      <c r="B156" s="13" t="s">
        <v>240</v>
      </c>
      <c r="C156" s="13" t="s">
        <v>241</v>
      </c>
      <c r="D156" t="s">
        <v>909</v>
      </c>
      <c r="E156">
        <v>800</v>
      </c>
    </row>
    <row r="157" spans="1:5">
      <c r="A157" s="12">
        <v>25904</v>
      </c>
      <c r="B157" s="13" t="s">
        <v>473</v>
      </c>
      <c r="C157" s="13" t="s">
        <v>474</v>
      </c>
      <c r="D157" t="s">
        <v>909</v>
      </c>
      <c r="E157">
        <v>700</v>
      </c>
    </row>
    <row r="158" spans="1:5">
      <c r="A158" s="12">
        <v>25958</v>
      </c>
      <c r="B158" s="13" t="s">
        <v>51</v>
      </c>
      <c r="C158" s="13" t="s">
        <v>52</v>
      </c>
      <c r="D158" t="s">
        <v>909</v>
      </c>
      <c r="E158">
        <v>1000</v>
      </c>
    </row>
    <row r="159" spans="1:5">
      <c r="A159" s="12">
        <v>25976</v>
      </c>
      <c r="B159" s="13" t="s">
        <v>240</v>
      </c>
      <c r="C159" s="13" t="s">
        <v>241</v>
      </c>
      <c r="D159" t="s">
        <v>909</v>
      </c>
      <c r="E159">
        <v>800</v>
      </c>
    </row>
    <row r="160" spans="1:5">
      <c r="A160" s="12">
        <v>26105</v>
      </c>
      <c r="B160" s="13" t="s">
        <v>495</v>
      </c>
      <c r="C160" s="13" t="s">
        <v>496</v>
      </c>
      <c r="D160" t="s">
        <v>909</v>
      </c>
      <c r="E160">
        <v>700</v>
      </c>
    </row>
    <row r="161" spans="1:5">
      <c r="A161" s="12">
        <v>26113</v>
      </c>
      <c r="B161" s="13" t="s">
        <v>29</v>
      </c>
      <c r="C161" s="13" t="s">
        <v>30</v>
      </c>
      <c r="D161" t="s">
        <v>909</v>
      </c>
      <c r="E161">
        <v>1000</v>
      </c>
    </row>
    <row r="162" spans="1:5">
      <c r="A162" s="12">
        <v>26166</v>
      </c>
      <c r="B162" s="13" t="s">
        <v>753</v>
      </c>
      <c r="C162" s="13" t="s">
        <v>754</v>
      </c>
      <c r="D162" t="s">
        <v>909</v>
      </c>
      <c r="E162">
        <v>600</v>
      </c>
    </row>
    <row r="163" spans="1:5">
      <c r="A163" s="12">
        <v>26167</v>
      </c>
      <c r="B163" s="13" t="s">
        <v>240</v>
      </c>
      <c r="C163" s="13" t="s">
        <v>241</v>
      </c>
      <c r="D163" t="s">
        <v>909</v>
      </c>
      <c r="E163">
        <v>800</v>
      </c>
    </row>
    <row r="164" spans="1:5">
      <c r="A164" s="12">
        <v>26205</v>
      </c>
      <c r="B164" s="13" t="s">
        <v>609</v>
      </c>
      <c r="C164" s="13" t="s">
        <v>610</v>
      </c>
      <c r="D164" t="s">
        <v>909</v>
      </c>
      <c r="E164">
        <v>700</v>
      </c>
    </row>
    <row r="165" spans="1:5">
      <c r="A165" s="12">
        <v>26208</v>
      </c>
      <c r="B165" s="13" t="s">
        <v>485</v>
      </c>
      <c r="C165" s="13" t="s">
        <v>486</v>
      </c>
      <c r="D165" t="s">
        <v>909</v>
      </c>
      <c r="E165">
        <v>700</v>
      </c>
    </row>
    <row r="166" spans="1:5">
      <c r="A166" s="12">
        <v>26286</v>
      </c>
      <c r="B166" s="13" t="s">
        <v>309</v>
      </c>
      <c r="C166" s="13" t="s">
        <v>310</v>
      </c>
      <c r="D166" t="s">
        <v>909</v>
      </c>
      <c r="E166">
        <v>700</v>
      </c>
    </row>
    <row r="167" spans="1:5">
      <c r="A167" s="12">
        <v>26369</v>
      </c>
      <c r="B167" s="13" t="s">
        <v>664</v>
      </c>
      <c r="C167" s="13" t="s">
        <v>665</v>
      </c>
      <c r="D167" t="s">
        <v>909</v>
      </c>
      <c r="E167">
        <v>700</v>
      </c>
    </row>
    <row r="168" spans="1:5">
      <c r="A168" s="12">
        <v>26370</v>
      </c>
      <c r="B168" s="13" t="s">
        <v>664</v>
      </c>
      <c r="C168" s="13" t="s">
        <v>665</v>
      </c>
      <c r="D168" t="s">
        <v>909</v>
      </c>
      <c r="E168">
        <v>700</v>
      </c>
    </row>
    <row r="169" spans="1:5">
      <c r="A169" s="12">
        <v>26400</v>
      </c>
      <c r="B169" s="13" t="s">
        <v>125</v>
      </c>
      <c r="C169" s="13" t="s">
        <v>126</v>
      </c>
      <c r="D169" t="s">
        <v>909</v>
      </c>
      <c r="E169">
        <v>800</v>
      </c>
    </row>
    <row r="170" spans="1:5">
      <c r="A170" s="12">
        <v>26449</v>
      </c>
      <c r="B170" s="13" t="s">
        <v>676</v>
      </c>
      <c r="C170" s="13" t="s">
        <v>677</v>
      </c>
      <c r="D170" t="s">
        <v>909</v>
      </c>
      <c r="E170">
        <v>700</v>
      </c>
    </row>
    <row r="171" spans="1:5">
      <c r="A171" s="12">
        <v>26621</v>
      </c>
      <c r="B171" s="13" t="s">
        <v>132</v>
      </c>
      <c r="C171" s="13" t="s">
        <v>133</v>
      </c>
      <c r="D171" t="s">
        <v>909</v>
      </c>
      <c r="E171">
        <v>800</v>
      </c>
    </row>
    <row r="172" spans="1:5">
      <c r="A172" s="12">
        <v>26642</v>
      </c>
      <c r="B172" s="13" t="s">
        <v>250</v>
      </c>
      <c r="C172" s="13" t="s">
        <v>251</v>
      </c>
      <c r="D172" t="s">
        <v>909</v>
      </c>
      <c r="E172">
        <v>800</v>
      </c>
    </row>
    <row r="173" spans="1:5">
      <c r="A173" s="12">
        <v>26751</v>
      </c>
      <c r="B173" s="13" t="s">
        <v>419</v>
      </c>
      <c r="C173" s="13" t="s">
        <v>420</v>
      </c>
      <c r="D173" t="s">
        <v>909</v>
      </c>
      <c r="E173">
        <v>700</v>
      </c>
    </row>
    <row r="174" spans="1:5">
      <c r="A174" s="12">
        <v>26895</v>
      </c>
      <c r="B174" s="13" t="s">
        <v>180</v>
      </c>
      <c r="C174" s="13" t="s">
        <v>181</v>
      </c>
      <c r="D174" t="s">
        <v>909</v>
      </c>
      <c r="E174">
        <v>800</v>
      </c>
    </row>
    <row r="175" spans="1:5">
      <c r="A175" s="12">
        <v>26968</v>
      </c>
      <c r="B175" s="13" t="s">
        <v>797</v>
      </c>
      <c r="C175" s="13" t="s">
        <v>798</v>
      </c>
      <c r="D175" t="s">
        <v>909</v>
      </c>
      <c r="E175">
        <v>600</v>
      </c>
    </row>
    <row r="176" spans="1:5">
      <c r="A176" s="12">
        <v>27005</v>
      </c>
      <c r="B176" s="13" t="s">
        <v>72</v>
      </c>
      <c r="C176" s="13" t="s">
        <v>73</v>
      </c>
      <c r="D176" t="s">
        <v>909</v>
      </c>
      <c r="E176">
        <v>1000</v>
      </c>
    </row>
    <row r="177" spans="1:5">
      <c r="A177" s="12">
        <v>27052</v>
      </c>
      <c r="B177" s="13" t="s">
        <v>148</v>
      </c>
      <c r="C177" s="13" t="s">
        <v>149</v>
      </c>
      <c r="D177" t="s">
        <v>909</v>
      </c>
      <c r="E177">
        <v>800</v>
      </c>
    </row>
    <row r="178" spans="1:5">
      <c r="A178" s="12">
        <v>27072</v>
      </c>
      <c r="B178" s="13" t="s">
        <v>325</v>
      </c>
      <c r="C178" s="13" t="s">
        <v>326</v>
      </c>
      <c r="D178" t="s">
        <v>909</v>
      </c>
      <c r="E178">
        <v>700</v>
      </c>
    </row>
    <row r="179" spans="1:5">
      <c r="A179" s="12">
        <v>27130</v>
      </c>
      <c r="B179" s="13" t="s">
        <v>719</v>
      </c>
      <c r="C179" s="13" t="s">
        <v>720</v>
      </c>
      <c r="D179" t="s">
        <v>909</v>
      </c>
      <c r="E179">
        <v>600</v>
      </c>
    </row>
    <row r="180" spans="1:5">
      <c r="A180" s="12">
        <v>27190</v>
      </c>
      <c r="B180" s="13" t="s">
        <v>59</v>
      </c>
      <c r="C180" s="13" t="s">
        <v>60</v>
      </c>
      <c r="D180" t="s">
        <v>909</v>
      </c>
      <c r="E180">
        <v>1000</v>
      </c>
    </row>
    <row r="181" spans="1:5">
      <c r="A181" s="12">
        <v>27211</v>
      </c>
      <c r="B181" s="13" t="s">
        <v>463</v>
      </c>
      <c r="C181" s="13" t="s">
        <v>464</v>
      </c>
      <c r="D181" t="s">
        <v>909</v>
      </c>
      <c r="E181">
        <v>700</v>
      </c>
    </row>
    <row r="182" spans="1:5">
      <c r="A182" s="12">
        <v>27302</v>
      </c>
      <c r="B182" s="13" t="s">
        <v>459</v>
      </c>
      <c r="C182" s="13" t="s">
        <v>460</v>
      </c>
      <c r="D182" t="s">
        <v>909</v>
      </c>
      <c r="E182">
        <v>700</v>
      </c>
    </row>
    <row r="183" spans="1:5">
      <c r="A183" s="12">
        <v>27319</v>
      </c>
      <c r="B183" s="13" t="s">
        <v>715</v>
      </c>
      <c r="C183" s="13" t="s">
        <v>716</v>
      </c>
      <c r="D183" t="s">
        <v>909</v>
      </c>
      <c r="E183">
        <v>600</v>
      </c>
    </row>
    <row r="184" spans="1:5">
      <c r="A184" s="12">
        <v>27513</v>
      </c>
      <c r="B184" s="13" t="s">
        <v>601</v>
      </c>
      <c r="C184" s="13" t="s">
        <v>602</v>
      </c>
      <c r="D184" t="s">
        <v>909</v>
      </c>
      <c r="E184">
        <v>700</v>
      </c>
    </row>
    <row r="185" spans="1:5">
      <c r="A185" s="12">
        <v>27744</v>
      </c>
      <c r="B185" s="13" t="s">
        <v>433</v>
      </c>
      <c r="C185" s="13" t="s">
        <v>434</v>
      </c>
      <c r="D185" t="s">
        <v>909</v>
      </c>
      <c r="E185">
        <v>700</v>
      </c>
    </row>
    <row r="186" spans="1:5">
      <c r="A186" s="12">
        <v>27757</v>
      </c>
      <c r="B186" s="13" t="s">
        <v>152</v>
      </c>
      <c r="C186" s="13" t="s">
        <v>153</v>
      </c>
      <c r="D186" t="s">
        <v>909</v>
      </c>
      <c r="E186">
        <v>800</v>
      </c>
    </row>
    <row r="187" spans="1:5">
      <c r="A187" s="12">
        <v>27807</v>
      </c>
      <c r="B187" s="13" t="s">
        <v>55</v>
      </c>
      <c r="C187" s="13" t="s">
        <v>56</v>
      </c>
      <c r="D187" t="s">
        <v>909</v>
      </c>
      <c r="E187">
        <v>1000</v>
      </c>
    </row>
    <row r="188" spans="1:5">
      <c r="A188" s="12">
        <v>28017</v>
      </c>
      <c r="B188" s="13" t="s">
        <v>21</v>
      </c>
      <c r="C188" s="13" t="s">
        <v>22</v>
      </c>
      <c r="D188" t="s">
        <v>909</v>
      </c>
      <c r="E188">
        <v>1000</v>
      </c>
    </row>
    <row r="189" spans="1:5">
      <c r="A189" s="12">
        <v>28081</v>
      </c>
      <c r="B189" s="13" t="s">
        <v>455</v>
      </c>
      <c r="C189" s="13" t="s">
        <v>456</v>
      </c>
      <c r="D189" t="s">
        <v>909</v>
      </c>
      <c r="E189">
        <v>700</v>
      </c>
    </row>
    <row r="190" spans="1:5">
      <c r="A190" s="12">
        <v>28147</v>
      </c>
      <c r="B190" s="13" t="s">
        <v>419</v>
      </c>
      <c r="C190" s="13" t="s">
        <v>420</v>
      </c>
      <c r="D190" t="s">
        <v>909</v>
      </c>
      <c r="E190">
        <v>700</v>
      </c>
    </row>
    <row r="191" spans="1:5">
      <c r="A191" s="12">
        <v>28167</v>
      </c>
      <c r="B191" s="13" t="s">
        <v>519</v>
      </c>
      <c r="C191" s="13" t="s">
        <v>520</v>
      </c>
      <c r="D191" t="s">
        <v>909</v>
      </c>
      <c r="E191">
        <v>700</v>
      </c>
    </row>
    <row r="192" spans="1:5">
      <c r="A192" s="12">
        <v>28238</v>
      </c>
      <c r="B192" s="13" t="s">
        <v>49</v>
      </c>
      <c r="C192" s="13" t="s">
        <v>50</v>
      </c>
      <c r="D192" t="s">
        <v>909</v>
      </c>
      <c r="E192">
        <v>1000</v>
      </c>
    </row>
    <row r="193" spans="1:5">
      <c r="A193" s="12">
        <v>28323</v>
      </c>
      <c r="B193" s="13" t="s">
        <v>859</v>
      </c>
      <c r="C193" s="13" t="s">
        <v>860</v>
      </c>
      <c r="D193" t="s">
        <v>909</v>
      </c>
      <c r="E193">
        <v>600</v>
      </c>
    </row>
    <row r="194" spans="1:5">
      <c r="A194" s="12">
        <v>28527</v>
      </c>
      <c r="B194" s="13" t="s">
        <v>517</v>
      </c>
      <c r="C194" s="13" t="s">
        <v>518</v>
      </c>
      <c r="D194" t="s">
        <v>909</v>
      </c>
      <c r="E194">
        <v>700</v>
      </c>
    </row>
    <row r="195" spans="1:5">
      <c r="A195" s="12">
        <v>2853</v>
      </c>
      <c r="B195" s="13" t="s">
        <v>485</v>
      </c>
      <c r="C195" s="13" t="s">
        <v>486</v>
      </c>
      <c r="D195" t="s">
        <v>909</v>
      </c>
      <c r="E195">
        <v>700</v>
      </c>
    </row>
    <row r="196" spans="1:5">
      <c r="A196" s="12">
        <v>28654</v>
      </c>
      <c r="B196" s="13" t="s">
        <v>100</v>
      </c>
      <c r="C196" s="13" t="s">
        <v>101</v>
      </c>
      <c r="D196" t="s">
        <v>909</v>
      </c>
      <c r="E196">
        <v>1000</v>
      </c>
    </row>
    <row r="197" spans="1:5">
      <c r="A197" s="12">
        <v>2875</v>
      </c>
      <c r="B197" s="13" t="s">
        <v>218</v>
      </c>
      <c r="C197" s="13" t="s">
        <v>219</v>
      </c>
      <c r="D197" t="s">
        <v>909</v>
      </c>
      <c r="E197">
        <v>800</v>
      </c>
    </row>
    <row r="198" spans="1:5">
      <c r="A198" s="12">
        <v>28753</v>
      </c>
      <c r="B198" s="13" t="s">
        <v>65</v>
      </c>
      <c r="C198" s="13" t="s">
        <v>66</v>
      </c>
      <c r="D198" t="s">
        <v>909</v>
      </c>
      <c r="E198">
        <v>1000</v>
      </c>
    </row>
    <row r="199" spans="1:5">
      <c r="A199" s="12">
        <v>28797</v>
      </c>
      <c r="B199" s="13" t="s">
        <v>835</v>
      </c>
      <c r="C199" s="13" t="s">
        <v>836</v>
      </c>
      <c r="D199" t="s">
        <v>909</v>
      </c>
      <c r="E199">
        <v>600</v>
      </c>
    </row>
    <row r="200" spans="1:5">
      <c r="A200" s="12">
        <v>28836</v>
      </c>
      <c r="B200" s="13" t="s">
        <v>29</v>
      </c>
      <c r="C200" s="13" t="s">
        <v>30</v>
      </c>
      <c r="D200" t="s">
        <v>909</v>
      </c>
      <c r="E200">
        <v>1000</v>
      </c>
    </row>
    <row r="201" spans="1:5">
      <c r="A201" s="12">
        <v>29015</v>
      </c>
      <c r="B201" s="13" t="s">
        <v>325</v>
      </c>
      <c r="C201" s="13" t="s">
        <v>326</v>
      </c>
      <c r="D201" t="s">
        <v>909</v>
      </c>
      <c r="E201">
        <v>700</v>
      </c>
    </row>
    <row r="202" spans="1:5">
      <c r="A202" s="12">
        <v>29016</v>
      </c>
      <c r="B202" s="13" t="s">
        <v>433</v>
      </c>
      <c r="C202" s="13" t="s">
        <v>434</v>
      </c>
      <c r="D202" t="s">
        <v>909</v>
      </c>
      <c r="E202">
        <v>700</v>
      </c>
    </row>
    <row r="203" spans="1:5">
      <c r="A203" s="12">
        <v>29070</v>
      </c>
      <c r="B203" s="13" t="s">
        <v>293</v>
      </c>
      <c r="C203" s="13" t="s">
        <v>294</v>
      </c>
      <c r="D203" t="s">
        <v>909</v>
      </c>
      <c r="E203">
        <v>700</v>
      </c>
    </row>
    <row r="204" spans="1:5">
      <c r="A204" s="12">
        <v>29084</v>
      </c>
      <c r="B204" s="13" t="s">
        <v>127</v>
      </c>
      <c r="C204" s="13" t="s">
        <v>128</v>
      </c>
      <c r="D204" t="s">
        <v>909</v>
      </c>
      <c r="E204">
        <v>800</v>
      </c>
    </row>
    <row r="205" spans="1:5">
      <c r="A205" s="12">
        <v>29124</v>
      </c>
      <c r="B205" s="13" t="s">
        <v>845</v>
      </c>
      <c r="C205" s="13" t="s">
        <v>846</v>
      </c>
      <c r="D205" t="s">
        <v>909</v>
      </c>
      <c r="E205">
        <v>600</v>
      </c>
    </row>
    <row r="206" spans="1:5">
      <c r="A206" s="12">
        <v>29133</v>
      </c>
      <c r="B206" s="13" t="s">
        <v>285</v>
      </c>
      <c r="C206" s="13" t="s">
        <v>286</v>
      </c>
      <c r="D206" t="s">
        <v>909</v>
      </c>
      <c r="E206">
        <v>700</v>
      </c>
    </row>
    <row r="207" spans="1:5">
      <c r="A207" s="12">
        <v>29162</v>
      </c>
      <c r="B207" s="13" t="s">
        <v>413</v>
      </c>
      <c r="C207" s="13" t="s">
        <v>414</v>
      </c>
      <c r="D207" t="s">
        <v>909</v>
      </c>
      <c r="E207">
        <v>700</v>
      </c>
    </row>
    <row r="208" spans="1:5">
      <c r="A208" s="12">
        <v>29175</v>
      </c>
      <c r="B208" s="13" t="s">
        <v>244</v>
      </c>
      <c r="C208" s="13" t="s">
        <v>245</v>
      </c>
      <c r="D208" t="s">
        <v>909</v>
      </c>
      <c r="E208">
        <v>800</v>
      </c>
    </row>
    <row r="209" spans="1:5">
      <c r="A209" s="12">
        <v>29187</v>
      </c>
      <c r="B209" s="13" t="s">
        <v>23</v>
      </c>
      <c r="C209" s="13" t="s">
        <v>24</v>
      </c>
      <c r="D209" t="s">
        <v>909</v>
      </c>
      <c r="E209">
        <v>1000</v>
      </c>
    </row>
    <row r="210" spans="1:5">
      <c r="A210" s="12">
        <v>29203</v>
      </c>
      <c r="B210" s="13" t="s">
        <v>140</v>
      </c>
      <c r="C210" s="13" t="s">
        <v>141</v>
      </c>
      <c r="D210" t="s">
        <v>909</v>
      </c>
      <c r="E210">
        <v>800</v>
      </c>
    </row>
    <row r="211" spans="1:5">
      <c r="A211" s="12">
        <v>29232</v>
      </c>
      <c r="B211" s="13" t="s">
        <v>138</v>
      </c>
      <c r="C211" s="13" t="s">
        <v>139</v>
      </c>
      <c r="D211" t="s">
        <v>909</v>
      </c>
      <c r="E211">
        <v>800</v>
      </c>
    </row>
    <row r="212" spans="1:5">
      <c r="A212" s="12">
        <v>29349</v>
      </c>
      <c r="B212" s="13" t="s">
        <v>132</v>
      </c>
      <c r="C212" s="13" t="s">
        <v>133</v>
      </c>
      <c r="D212" t="s">
        <v>909</v>
      </c>
      <c r="E212">
        <v>800</v>
      </c>
    </row>
    <row r="213" spans="1:5">
      <c r="A213" s="12">
        <v>29566</v>
      </c>
      <c r="B213" s="13" t="s">
        <v>208</v>
      </c>
      <c r="C213" s="13" t="s">
        <v>209</v>
      </c>
      <c r="D213" t="s">
        <v>909</v>
      </c>
      <c r="E213">
        <v>800</v>
      </c>
    </row>
    <row r="214" spans="1:5">
      <c r="A214" s="12">
        <v>29620</v>
      </c>
      <c r="B214" s="13" t="s">
        <v>680</v>
      </c>
      <c r="C214" s="13" t="s">
        <v>681</v>
      </c>
      <c r="D214" t="s">
        <v>909</v>
      </c>
      <c r="E214">
        <v>700</v>
      </c>
    </row>
    <row r="215" spans="1:5">
      <c r="A215" s="12">
        <v>2971</v>
      </c>
      <c r="B215" s="13" t="s">
        <v>252</v>
      </c>
      <c r="C215" s="13" t="s">
        <v>253</v>
      </c>
      <c r="D215" t="s">
        <v>909</v>
      </c>
      <c r="E215">
        <v>800</v>
      </c>
    </row>
    <row r="216" spans="1:5">
      <c r="A216" s="12">
        <v>29829</v>
      </c>
      <c r="B216" s="13" t="s">
        <v>347</v>
      </c>
      <c r="C216" s="13" t="s">
        <v>348</v>
      </c>
      <c r="D216" t="s">
        <v>909</v>
      </c>
      <c r="E216">
        <v>700</v>
      </c>
    </row>
    <row r="217" spans="1:5">
      <c r="A217" s="12">
        <v>29864</v>
      </c>
      <c r="B217" s="13" t="s">
        <v>258</v>
      </c>
      <c r="C217" s="13" t="s">
        <v>259</v>
      </c>
      <c r="D217" t="s">
        <v>909</v>
      </c>
      <c r="E217">
        <v>800</v>
      </c>
    </row>
    <row r="218" spans="1:5">
      <c r="A218" s="12">
        <v>29955</v>
      </c>
      <c r="B218" s="13" t="s">
        <v>815</v>
      </c>
      <c r="C218" s="13" t="s">
        <v>816</v>
      </c>
      <c r="D218" t="s">
        <v>909</v>
      </c>
      <c r="E218">
        <v>600</v>
      </c>
    </row>
    <row r="219" spans="1:5">
      <c r="A219" s="12">
        <v>29956</v>
      </c>
      <c r="B219" s="13" t="s">
        <v>817</v>
      </c>
      <c r="C219" s="13" t="s">
        <v>818</v>
      </c>
      <c r="D219" t="s">
        <v>909</v>
      </c>
      <c r="E219">
        <v>600</v>
      </c>
    </row>
    <row r="220" spans="1:5">
      <c r="A220" s="12">
        <v>30178</v>
      </c>
      <c r="B220" s="13" t="s">
        <v>345</v>
      </c>
      <c r="C220" s="13" t="s">
        <v>346</v>
      </c>
      <c r="D220" t="s">
        <v>909</v>
      </c>
      <c r="E220">
        <v>700</v>
      </c>
    </row>
    <row r="221" spans="1:5">
      <c r="A221" s="12">
        <v>3018</v>
      </c>
      <c r="B221" s="13" t="s">
        <v>493</v>
      </c>
      <c r="C221" s="13" t="s">
        <v>494</v>
      </c>
      <c r="D221" t="s">
        <v>909</v>
      </c>
      <c r="E221">
        <v>700</v>
      </c>
    </row>
    <row r="222" spans="1:5">
      <c r="A222" s="12">
        <v>30462</v>
      </c>
      <c r="B222" s="13" t="s">
        <v>76</v>
      </c>
      <c r="C222" s="13" t="s">
        <v>77</v>
      </c>
      <c r="D222" t="s">
        <v>909</v>
      </c>
      <c r="E222">
        <v>1000</v>
      </c>
    </row>
    <row r="223" spans="1:5">
      <c r="A223" s="12">
        <v>30486</v>
      </c>
      <c r="B223" s="13" t="s">
        <v>140</v>
      </c>
      <c r="C223" s="13" t="s">
        <v>141</v>
      </c>
      <c r="D223" t="s">
        <v>909</v>
      </c>
      <c r="E223">
        <v>800</v>
      </c>
    </row>
    <row r="224" spans="1:5">
      <c r="A224" s="12">
        <v>30543</v>
      </c>
      <c r="B224" s="13" t="s">
        <v>670</v>
      </c>
      <c r="C224" s="13" t="s">
        <v>671</v>
      </c>
      <c r="D224" t="s">
        <v>909</v>
      </c>
      <c r="E224">
        <v>700</v>
      </c>
    </row>
    <row r="225" spans="1:5">
      <c r="A225" s="12">
        <v>30569</v>
      </c>
      <c r="B225" s="13" t="s">
        <v>515</v>
      </c>
      <c r="C225" s="13" t="s">
        <v>516</v>
      </c>
      <c r="D225" t="s">
        <v>909</v>
      </c>
      <c r="E225">
        <v>700</v>
      </c>
    </row>
    <row r="226" spans="1:5">
      <c r="A226" s="12">
        <v>30664</v>
      </c>
      <c r="B226" s="13" t="s">
        <v>136</v>
      </c>
      <c r="C226" s="13" t="s">
        <v>137</v>
      </c>
      <c r="D226" t="s">
        <v>909</v>
      </c>
      <c r="E226">
        <v>800</v>
      </c>
    </row>
    <row r="227" spans="1:5">
      <c r="A227" s="12">
        <v>30669</v>
      </c>
      <c r="B227" s="13" t="s">
        <v>190</v>
      </c>
      <c r="C227" s="13" t="s">
        <v>191</v>
      </c>
      <c r="D227" t="s">
        <v>909</v>
      </c>
      <c r="E227">
        <v>800</v>
      </c>
    </row>
    <row r="228" spans="1:5">
      <c r="A228" s="12">
        <v>30681</v>
      </c>
      <c r="B228" s="13" t="s">
        <v>277</v>
      </c>
      <c r="C228" s="13" t="s">
        <v>278</v>
      </c>
      <c r="D228" t="s">
        <v>909</v>
      </c>
      <c r="E228">
        <v>700</v>
      </c>
    </row>
    <row r="229" spans="1:5">
      <c r="A229" s="12">
        <v>30721</v>
      </c>
      <c r="B229" s="13" t="s">
        <v>367</v>
      </c>
      <c r="C229" s="13" t="s">
        <v>368</v>
      </c>
      <c r="D229" t="s">
        <v>909</v>
      </c>
      <c r="E229">
        <v>700</v>
      </c>
    </row>
    <row r="230" spans="1:5">
      <c r="A230" s="12">
        <v>30750</v>
      </c>
      <c r="B230" s="13" t="s">
        <v>16</v>
      </c>
      <c r="C230" s="13" t="s">
        <v>17</v>
      </c>
      <c r="D230" t="s">
        <v>909</v>
      </c>
      <c r="E230">
        <v>1000</v>
      </c>
    </row>
    <row r="231" spans="1:5">
      <c r="A231" s="12">
        <v>30752</v>
      </c>
      <c r="B231" s="13" t="s">
        <v>680</v>
      </c>
      <c r="C231" s="13" t="s">
        <v>681</v>
      </c>
      <c r="D231" t="s">
        <v>909</v>
      </c>
      <c r="E231">
        <v>700</v>
      </c>
    </row>
    <row r="232" spans="1:5">
      <c r="A232" s="12">
        <v>30803</v>
      </c>
      <c r="B232" s="13" t="s">
        <v>70</v>
      </c>
      <c r="C232" s="13" t="s">
        <v>71</v>
      </c>
      <c r="D232" t="s">
        <v>909</v>
      </c>
      <c r="E232">
        <v>1000</v>
      </c>
    </row>
    <row r="233" spans="1:5">
      <c r="A233" s="12">
        <v>30917</v>
      </c>
      <c r="B233" s="13" t="s">
        <v>821</v>
      </c>
      <c r="C233" s="13" t="s">
        <v>822</v>
      </c>
      <c r="D233" t="s">
        <v>909</v>
      </c>
      <c r="E233">
        <v>600</v>
      </c>
    </row>
    <row r="234" spans="1:5">
      <c r="A234" s="12">
        <v>30988</v>
      </c>
      <c r="B234" s="13" t="s">
        <v>279</v>
      </c>
      <c r="C234" s="13" t="s">
        <v>280</v>
      </c>
      <c r="D234" t="s">
        <v>909</v>
      </c>
      <c r="E234">
        <v>700</v>
      </c>
    </row>
    <row r="235" spans="1:5">
      <c r="A235" s="12">
        <v>31051</v>
      </c>
      <c r="B235" s="13" t="s">
        <v>361</v>
      </c>
      <c r="C235" s="13" t="s">
        <v>362</v>
      </c>
      <c r="D235" t="s">
        <v>909</v>
      </c>
      <c r="E235">
        <v>700</v>
      </c>
    </row>
    <row r="236" spans="1:5">
      <c r="A236" s="12">
        <v>31087</v>
      </c>
      <c r="B236" s="13" t="s">
        <v>449</v>
      </c>
      <c r="C236" s="13" t="s">
        <v>450</v>
      </c>
      <c r="D236" t="s">
        <v>909</v>
      </c>
      <c r="E236">
        <v>700</v>
      </c>
    </row>
    <row r="237" spans="1:5">
      <c r="A237" s="12">
        <v>31089</v>
      </c>
      <c r="B237" s="13" t="s">
        <v>57</v>
      </c>
      <c r="C237" s="13" t="s">
        <v>58</v>
      </c>
      <c r="D237" t="s">
        <v>909</v>
      </c>
      <c r="E237">
        <v>1000</v>
      </c>
    </row>
    <row r="238" spans="1:5">
      <c r="A238" s="12">
        <v>31120</v>
      </c>
      <c r="B238" s="13" t="s">
        <v>511</v>
      </c>
      <c r="C238" s="13" t="s">
        <v>512</v>
      </c>
      <c r="D238" t="s">
        <v>909</v>
      </c>
      <c r="E238">
        <v>700</v>
      </c>
    </row>
    <row r="239" spans="1:5">
      <c r="A239" s="12">
        <v>31139</v>
      </c>
      <c r="B239" s="13" t="s">
        <v>35</v>
      </c>
      <c r="C239" s="13" t="s">
        <v>36</v>
      </c>
      <c r="D239" t="s">
        <v>909</v>
      </c>
      <c r="E239">
        <v>1000</v>
      </c>
    </row>
    <row r="240" spans="1:5">
      <c r="A240" s="12">
        <v>31149</v>
      </c>
      <c r="B240" s="13" t="s">
        <v>228</v>
      </c>
      <c r="C240" s="13" t="s">
        <v>229</v>
      </c>
      <c r="D240" t="s">
        <v>909</v>
      </c>
      <c r="E240">
        <v>800</v>
      </c>
    </row>
    <row r="241" spans="1:5">
      <c r="A241" s="12">
        <v>31168</v>
      </c>
      <c r="B241" s="13" t="s">
        <v>33</v>
      </c>
      <c r="C241" s="13" t="s">
        <v>34</v>
      </c>
      <c r="D241" t="s">
        <v>909</v>
      </c>
      <c r="E241">
        <v>1000</v>
      </c>
    </row>
    <row r="242" spans="1:5">
      <c r="A242" s="12">
        <v>31527</v>
      </c>
      <c r="B242" s="13" t="s">
        <v>29</v>
      </c>
      <c r="C242" s="13" t="s">
        <v>30</v>
      </c>
      <c r="D242" t="s">
        <v>909</v>
      </c>
      <c r="E242">
        <v>1000</v>
      </c>
    </row>
    <row r="243" spans="1:5">
      <c r="A243" s="12">
        <v>31533</v>
      </c>
      <c r="B243" s="13" t="s">
        <v>49</v>
      </c>
      <c r="C243" s="13" t="s">
        <v>50</v>
      </c>
      <c r="D243" t="s">
        <v>909</v>
      </c>
      <c r="E243">
        <v>1000</v>
      </c>
    </row>
    <row r="244" spans="1:5">
      <c r="A244" s="12">
        <v>31761</v>
      </c>
      <c r="B244" s="13" t="s">
        <v>134</v>
      </c>
      <c r="C244" s="13" t="s">
        <v>135</v>
      </c>
      <c r="D244" t="s">
        <v>909</v>
      </c>
      <c r="E244">
        <v>800</v>
      </c>
    </row>
    <row r="245" spans="1:5">
      <c r="A245" s="12">
        <v>31777</v>
      </c>
      <c r="B245" s="13" t="s">
        <v>246</v>
      </c>
      <c r="C245" s="13" t="s">
        <v>247</v>
      </c>
      <c r="D245" t="s">
        <v>909</v>
      </c>
      <c r="E245">
        <v>800</v>
      </c>
    </row>
    <row r="246" spans="1:5">
      <c r="A246" s="12">
        <v>31780</v>
      </c>
      <c r="B246" s="13" t="s">
        <v>115</v>
      </c>
      <c r="C246" s="13" t="s">
        <v>116</v>
      </c>
      <c r="D246" t="s">
        <v>909</v>
      </c>
      <c r="E246">
        <v>800</v>
      </c>
    </row>
    <row r="247" spans="1:5">
      <c r="A247" s="12">
        <v>31837</v>
      </c>
      <c r="B247" s="13" t="s">
        <v>795</v>
      </c>
      <c r="C247" s="13" t="s">
        <v>919</v>
      </c>
      <c r="D247" t="s">
        <v>909</v>
      </c>
      <c r="E247">
        <v>600</v>
      </c>
    </row>
    <row r="248" spans="1:5">
      <c r="A248" s="12">
        <v>31983</v>
      </c>
      <c r="B248" s="13" t="s">
        <v>49</v>
      </c>
      <c r="C248" s="13" t="s">
        <v>50</v>
      </c>
      <c r="D248" t="s">
        <v>909</v>
      </c>
      <c r="E248">
        <v>1000</v>
      </c>
    </row>
    <row r="249" spans="1:5">
      <c r="A249" s="12">
        <v>32138</v>
      </c>
      <c r="B249" s="13" t="s">
        <v>795</v>
      </c>
      <c r="C249" s="13" t="s">
        <v>919</v>
      </c>
      <c r="D249" t="s">
        <v>909</v>
      </c>
      <c r="E249">
        <v>600</v>
      </c>
    </row>
    <row r="250" spans="1:5">
      <c r="A250" s="12">
        <v>32251</v>
      </c>
      <c r="B250" s="13" t="s">
        <v>686</v>
      </c>
      <c r="C250" s="13" t="s">
        <v>687</v>
      </c>
      <c r="D250" t="s">
        <v>909</v>
      </c>
      <c r="E250">
        <v>700</v>
      </c>
    </row>
    <row r="251" spans="1:5">
      <c r="A251" s="12">
        <v>32284</v>
      </c>
      <c r="B251" s="13" t="s">
        <v>94</v>
      </c>
      <c r="C251" s="13" t="s">
        <v>95</v>
      </c>
      <c r="D251" t="s">
        <v>909</v>
      </c>
      <c r="E251">
        <v>1000</v>
      </c>
    </row>
    <row r="252" spans="1:5">
      <c r="A252" s="12">
        <v>32287</v>
      </c>
      <c r="B252" s="13" t="s">
        <v>573</v>
      </c>
      <c r="C252" s="13" t="s">
        <v>574</v>
      </c>
      <c r="D252" t="s">
        <v>909</v>
      </c>
      <c r="E252">
        <v>700</v>
      </c>
    </row>
    <row r="253" spans="1:5">
      <c r="A253" s="12">
        <v>32335</v>
      </c>
      <c r="B253" s="13" t="s">
        <v>82</v>
      </c>
      <c r="C253" s="13" t="s">
        <v>83</v>
      </c>
      <c r="D253" t="s">
        <v>909</v>
      </c>
      <c r="E253">
        <v>1000</v>
      </c>
    </row>
    <row r="254" spans="1:5">
      <c r="A254" s="12">
        <v>32439</v>
      </c>
      <c r="B254" s="13" t="s">
        <v>611</v>
      </c>
      <c r="C254" s="13" t="s">
        <v>612</v>
      </c>
      <c r="D254" t="s">
        <v>909</v>
      </c>
      <c r="E254">
        <v>700</v>
      </c>
    </row>
    <row r="255" spans="1:5">
      <c r="A255" s="12">
        <v>32479</v>
      </c>
      <c r="B255" s="13" t="s">
        <v>45</v>
      </c>
      <c r="C255" s="13" t="s">
        <v>46</v>
      </c>
      <c r="D255" t="s">
        <v>909</v>
      </c>
      <c r="E255">
        <v>1000</v>
      </c>
    </row>
    <row r="256" spans="1:5">
      <c r="A256" s="12">
        <v>32616</v>
      </c>
      <c r="B256" s="13" t="s">
        <v>55</v>
      </c>
      <c r="C256" s="13" t="s">
        <v>56</v>
      </c>
      <c r="D256" t="s">
        <v>909</v>
      </c>
      <c r="E256">
        <v>1000</v>
      </c>
    </row>
    <row r="257" spans="1:5">
      <c r="A257" s="12">
        <v>3262</v>
      </c>
      <c r="B257" s="13" t="s">
        <v>228</v>
      </c>
      <c r="C257" s="13" t="s">
        <v>229</v>
      </c>
      <c r="D257" t="s">
        <v>909</v>
      </c>
      <c r="E257">
        <v>800</v>
      </c>
    </row>
    <row r="258" spans="1:5">
      <c r="A258" s="12">
        <v>32622</v>
      </c>
      <c r="B258" s="13" t="s">
        <v>92</v>
      </c>
      <c r="C258" s="13" t="s">
        <v>93</v>
      </c>
      <c r="D258" t="s">
        <v>909</v>
      </c>
      <c r="E258">
        <v>1000</v>
      </c>
    </row>
    <row r="259" spans="1:5">
      <c r="A259" s="12">
        <v>32635</v>
      </c>
      <c r="B259" s="13" t="s">
        <v>70</v>
      </c>
      <c r="C259" s="13" t="s">
        <v>71</v>
      </c>
      <c r="D259" t="s">
        <v>909</v>
      </c>
      <c r="E259">
        <v>1000</v>
      </c>
    </row>
    <row r="260" spans="1:5">
      <c r="A260" s="12">
        <v>32638</v>
      </c>
      <c r="B260" s="13" t="s">
        <v>16</v>
      </c>
      <c r="C260" s="13" t="s">
        <v>17</v>
      </c>
      <c r="D260" t="s">
        <v>909</v>
      </c>
      <c r="E260">
        <v>1000</v>
      </c>
    </row>
    <row r="261" spans="1:5">
      <c r="A261" s="12">
        <v>32681</v>
      </c>
      <c r="B261" s="13" t="s">
        <v>653</v>
      </c>
      <c r="C261" s="13" t="s">
        <v>654</v>
      </c>
      <c r="D261" t="s">
        <v>909</v>
      </c>
      <c r="E261">
        <v>700</v>
      </c>
    </row>
    <row r="262" spans="1:5">
      <c r="A262" s="12">
        <v>32727</v>
      </c>
      <c r="B262" s="13" t="s">
        <v>655</v>
      </c>
      <c r="C262" s="13" t="s">
        <v>656</v>
      </c>
      <c r="D262" t="s">
        <v>909</v>
      </c>
      <c r="E262">
        <v>700</v>
      </c>
    </row>
    <row r="263" spans="1:5">
      <c r="A263" s="12">
        <v>32731</v>
      </c>
      <c r="B263" s="13" t="s">
        <v>115</v>
      </c>
      <c r="C263" s="13" t="s">
        <v>116</v>
      </c>
      <c r="D263" t="s">
        <v>909</v>
      </c>
      <c r="E263">
        <v>800</v>
      </c>
    </row>
    <row r="264" spans="1:5">
      <c r="A264" s="12">
        <v>32749</v>
      </c>
      <c r="B264" s="13" t="s">
        <v>125</v>
      </c>
      <c r="C264" s="13" t="s">
        <v>126</v>
      </c>
      <c r="D264" t="s">
        <v>909</v>
      </c>
      <c r="E264">
        <v>800</v>
      </c>
    </row>
    <row r="265" spans="1:5">
      <c r="A265" s="12">
        <v>32751</v>
      </c>
      <c r="B265" s="13" t="s">
        <v>70</v>
      </c>
      <c r="C265" s="13" t="s">
        <v>71</v>
      </c>
      <c r="D265" t="s">
        <v>909</v>
      </c>
      <c r="E265">
        <v>1000</v>
      </c>
    </row>
    <row r="266" spans="1:5">
      <c r="A266" s="12">
        <v>32753</v>
      </c>
      <c r="B266" s="13" t="s">
        <v>98</v>
      </c>
      <c r="C266" s="13" t="s">
        <v>99</v>
      </c>
      <c r="D266" t="s">
        <v>909</v>
      </c>
      <c r="E266">
        <v>1000</v>
      </c>
    </row>
    <row r="267" spans="1:5">
      <c r="A267" s="12">
        <v>32755</v>
      </c>
      <c r="B267" s="13" t="s">
        <v>37</v>
      </c>
      <c r="C267" s="13" t="s">
        <v>38</v>
      </c>
      <c r="D267" t="s">
        <v>909</v>
      </c>
      <c r="E267">
        <v>1000</v>
      </c>
    </row>
    <row r="268" spans="1:5">
      <c r="A268" s="12">
        <v>32782</v>
      </c>
      <c r="B268" s="13" t="s">
        <v>51</v>
      </c>
      <c r="C268" s="13" t="s">
        <v>52</v>
      </c>
      <c r="D268" t="s">
        <v>909</v>
      </c>
      <c r="E268">
        <v>1000</v>
      </c>
    </row>
    <row r="269" spans="1:5">
      <c r="A269" s="12">
        <v>32815</v>
      </c>
      <c r="B269" s="13" t="s">
        <v>117</v>
      </c>
      <c r="C269" s="13" t="s">
        <v>118</v>
      </c>
      <c r="D269" t="s">
        <v>909</v>
      </c>
      <c r="E269">
        <v>800</v>
      </c>
    </row>
    <row r="270" spans="1:5">
      <c r="A270" s="12">
        <v>32830</v>
      </c>
      <c r="B270" s="13" t="s">
        <v>313</v>
      </c>
      <c r="C270" s="13" t="s">
        <v>314</v>
      </c>
      <c r="D270" t="s">
        <v>909</v>
      </c>
      <c r="E270">
        <v>700</v>
      </c>
    </row>
    <row r="271" spans="1:5">
      <c r="A271" s="12">
        <v>32832</v>
      </c>
      <c r="B271" s="13" t="s">
        <v>16</v>
      </c>
      <c r="C271" s="13" t="s">
        <v>17</v>
      </c>
      <c r="D271" t="s">
        <v>909</v>
      </c>
      <c r="E271">
        <v>1000</v>
      </c>
    </row>
    <row r="272" spans="1:5">
      <c r="A272" s="12">
        <v>32833</v>
      </c>
      <c r="B272" s="13" t="s">
        <v>248</v>
      </c>
      <c r="C272" s="13" t="s">
        <v>249</v>
      </c>
      <c r="D272" t="s">
        <v>909</v>
      </c>
      <c r="E272">
        <v>800</v>
      </c>
    </row>
    <row r="273" spans="1:5">
      <c r="A273" s="12">
        <v>32841</v>
      </c>
      <c r="B273" s="13" t="s">
        <v>361</v>
      </c>
      <c r="C273" s="13" t="s">
        <v>362</v>
      </c>
      <c r="D273" t="s">
        <v>909</v>
      </c>
      <c r="E273">
        <v>700</v>
      </c>
    </row>
    <row r="274" spans="1:5">
      <c r="A274" s="12">
        <v>32844</v>
      </c>
      <c r="B274" s="13" t="s">
        <v>873</v>
      </c>
      <c r="C274" s="13" t="s">
        <v>874</v>
      </c>
      <c r="D274" t="s">
        <v>909</v>
      </c>
      <c r="E274">
        <v>600</v>
      </c>
    </row>
    <row r="275" spans="1:5">
      <c r="A275" s="12">
        <v>32846</v>
      </c>
      <c r="B275" s="13" t="s">
        <v>339</v>
      </c>
      <c r="C275" s="13" t="s">
        <v>340</v>
      </c>
      <c r="D275" t="s">
        <v>909</v>
      </c>
      <c r="E275">
        <v>700</v>
      </c>
    </row>
    <row r="276" spans="1:5">
      <c r="A276" s="12">
        <v>32912</v>
      </c>
      <c r="B276" s="13" t="s">
        <v>678</v>
      </c>
      <c r="C276" s="13" t="s">
        <v>679</v>
      </c>
      <c r="D276" t="s">
        <v>909</v>
      </c>
      <c r="E276">
        <v>700</v>
      </c>
    </row>
    <row r="277" spans="1:5">
      <c r="A277" s="12">
        <v>32922</v>
      </c>
      <c r="B277" s="13" t="s">
        <v>863</v>
      </c>
      <c r="C277" s="13" t="s">
        <v>864</v>
      </c>
      <c r="D277" t="s">
        <v>909</v>
      </c>
      <c r="E277">
        <v>600</v>
      </c>
    </row>
    <row r="278" spans="1:5">
      <c r="A278" s="12">
        <v>32936</v>
      </c>
      <c r="B278" s="13" t="s">
        <v>567</v>
      </c>
      <c r="C278" s="13" t="s">
        <v>568</v>
      </c>
      <c r="D278" t="s">
        <v>909</v>
      </c>
      <c r="E278">
        <v>700</v>
      </c>
    </row>
    <row r="279" spans="1:5">
      <c r="A279" s="12">
        <v>32946</v>
      </c>
      <c r="B279" s="13" t="s">
        <v>623</v>
      </c>
      <c r="C279" s="13" t="s">
        <v>624</v>
      </c>
      <c r="D279" t="s">
        <v>909</v>
      </c>
      <c r="E279">
        <v>700</v>
      </c>
    </row>
    <row r="280" spans="1:5">
      <c r="A280" s="12">
        <v>33000</v>
      </c>
      <c r="B280" s="13" t="s">
        <v>839</v>
      </c>
      <c r="C280" s="13" t="s">
        <v>840</v>
      </c>
      <c r="D280" t="s">
        <v>909</v>
      </c>
      <c r="E280">
        <v>600</v>
      </c>
    </row>
    <row r="281" spans="1:5">
      <c r="A281" s="12">
        <v>33001</v>
      </c>
      <c r="B281" s="13" t="s">
        <v>174</v>
      </c>
      <c r="C281" s="13" t="s">
        <v>175</v>
      </c>
      <c r="D281" t="s">
        <v>909</v>
      </c>
      <c r="E281">
        <v>800</v>
      </c>
    </row>
    <row r="282" spans="1:5">
      <c r="A282" s="12">
        <v>33066</v>
      </c>
      <c r="B282" s="13" t="s">
        <v>763</v>
      </c>
      <c r="C282" s="13" t="s">
        <v>764</v>
      </c>
      <c r="D282" t="s">
        <v>909</v>
      </c>
      <c r="E282">
        <v>600</v>
      </c>
    </row>
    <row r="283" spans="1:5">
      <c r="A283" s="12">
        <v>33099</v>
      </c>
      <c r="B283" s="13" t="s">
        <v>142</v>
      </c>
      <c r="C283" s="13" t="s">
        <v>143</v>
      </c>
      <c r="D283" t="s">
        <v>909</v>
      </c>
      <c r="E283">
        <v>800</v>
      </c>
    </row>
    <row r="284" spans="1:5">
      <c r="A284" s="12">
        <v>33135</v>
      </c>
      <c r="B284" s="13" t="s">
        <v>258</v>
      </c>
      <c r="C284" s="13" t="s">
        <v>259</v>
      </c>
      <c r="D284" t="s">
        <v>909</v>
      </c>
      <c r="E284">
        <v>800</v>
      </c>
    </row>
    <row r="285" spans="1:5">
      <c r="A285" s="12">
        <v>33158</v>
      </c>
      <c r="B285" s="13" t="s">
        <v>59</v>
      </c>
      <c r="C285" s="13" t="s">
        <v>60</v>
      </c>
      <c r="D285" t="s">
        <v>909</v>
      </c>
      <c r="E285">
        <v>1000</v>
      </c>
    </row>
    <row r="286" spans="1:5">
      <c r="A286" s="12">
        <v>33231</v>
      </c>
      <c r="B286" s="13" t="s">
        <v>172</v>
      </c>
      <c r="C286" s="13" t="s">
        <v>173</v>
      </c>
      <c r="D286" t="s">
        <v>909</v>
      </c>
      <c r="E286">
        <v>800</v>
      </c>
    </row>
    <row r="287" spans="1:5">
      <c r="A287" s="12">
        <v>33242</v>
      </c>
      <c r="B287" s="13" t="s">
        <v>783</v>
      </c>
      <c r="C287" s="13" t="s">
        <v>784</v>
      </c>
      <c r="D287" t="s">
        <v>909</v>
      </c>
      <c r="E287">
        <v>600</v>
      </c>
    </row>
    <row r="288" spans="1:5">
      <c r="A288" s="12">
        <v>33288</v>
      </c>
      <c r="B288" s="13" t="s">
        <v>664</v>
      </c>
      <c r="C288" s="13" t="s">
        <v>665</v>
      </c>
      <c r="D288" t="s">
        <v>909</v>
      </c>
      <c r="E288">
        <v>700</v>
      </c>
    </row>
    <row r="289" spans="1:5">
      <c r="A289" s="12">
        <v>33310</v>
      </c>
      <c r="B289" s="13" t="s">
        <v>635</v>
      </c>
      <c r="C289" s="13" t="s">
        <v>636</v>
      </c>
      <c r="D289" t="s">
        <v>909</v>
      </c>
      <c r="E289">
        <v>700</v>
      </c>
    </row>
    <row r="290" spans="1:5">
      <c r="A290" s="12">
        <v>33324</v>
      </c>
      <c r="B290" s="13" t="s">
        <v>805</v>
      </c>
      <c r="C290" s="13" t="s">
        <v>806</v>
      </c>
      <c r="D290" t="s">
        <v>909</v>
      </c>
      <c r="E290">
        <v>600</v>
      </c>
    </row>
    <row r="291" spans="1:5">
      <c r="A291" s="12">
        <v>33354</v>
      </c>
      <c r="B291" s="13" t="s">
        <v>172</v>
      </c>
      <c r="C291" s="13" t="s">
        <v>173</v>
      </c>
      <c r="D291" t="s">
        <v>909</v>
      </c>
      <c r="E291">
        <v>800</v>
      </c>
    </row>
    <row r="292" spans="1:5">
      <c r="A292" s="12">
        <v>33375</v>
      </c>
      <c r="B292" s="13" t="s">
        <v>285</v>
      </c>
      <c r="C292" s="13" t="s">
        <v>286</v>
      </c>
      <c r="D292" t="s">
        <v>909</v>
      </c>
      <c r="E292">
        <v>700</v>
      </c>
    </row>
    <row r="293" spans="1:5">
      <c r="A293" s="12">
        <v>33402</v>
      </c>
      <c r="B293" s="13" t="s">
        <v>505</v>
      </c>
      <c r="C293" s="13" t="s">
        <v>506</v>
      </c>
      <c r="D293" t="s">
        <v>909</v>
      </c>
      <c r="E293">
        <v>700</v>
      </c>
    </row>
    <row r="294" spans="1:5">
      <c r="A294" s="12">
        <v>33425</v>
      </c>
      <c r="B294" s="13" t="s">
        <v>127</v>
      </c>
      <c r="C294" s="13" t="s">
        <v>128</v>
      </c>
      <c r="D294" t="s">
        <v>909</v>
      </c>
      <c r="E294">
        <v>800</v>
      </c>
    </row>
    <row r="295" spans="1:5">
      <c r="A295" s="12">
        <v>3353</v>
      </c>
      <c r="B295" s="13" t="s">
        <v>299</v>
      </c>
      <c r="C295" s="13" t="s">
        <v>300</v>
      </c>
      <c r="D295" t="s">
        <v>909</v>
      </c>
      <c r="E295">
        <v>700</v>
      </c>
    </row>
    <row r="296" spans="1:5">
      <c r="A296" s="12">
        <v>33563</v>
      </c>
      <c r="B296" s="13" t="s">
        <v>670</v>
      </c>
      <c r="C296" s="13" t="s">
        <v>671</v>
      </c>
      <c r="D296" t="s">
        <v>909</v>
      </c>
      <c r="E296">
        <v>700</v>
      </c>
    </row>
    <row r="297" spans="1:5">
      <c r="A297" s="12">
        <v>33591</v>
      </c>
      <c r="B297" s="13" t="s">
        <v>37</v>
      </c>
      <c r="C297" s="13" t="s">
        <v>38</v>
      </c>
      <c r="D297" t="s">
        <v>909</v>
      </c>
      <c r="E297">
        <v>1000</v>
      </c>
    </row>
    <row r="298" spans="1:5">
      <c r="A298" s="12">
        <v>33593</v>
      </c>
      <c r="B298" s="13" t="s">
        <v>39</v>
      </c>
      <c r="C298" s="13" t="s">
        <v>40</v>
      </c>
      <c r="D298" t="s">
        <v>909</v>
      </c>
      <c r="E298">
        <v>1000</v>
      </c>
    </row>
    <row r="299" spans="1:5">
      <c r="A299" s="12">
        <v>33599</v>
      </c>
      <c r="B299" s="13" t="s">
        <v>25</v>
      </c>
      <c r="C299" s="13" t="s">
        <v>26</v>
      </c>
      <c r="D299" t="s">
        <v>909</v>
      </c>
      <c r="E299">
        <v>1000</v>
      </c>
    </row>
    <row r="300" spans="1:5">
      <c r="A300" s="12">
        <v>33602</v>
      </c>
      <c r="B300" s="13" t="s">
        <v>51</v>
      </c>
      <c r="C300" s="13" t="s">
        <v>52</v>
      </c>
      <c r="D300" t="s">
        <v>909</v>
      </c>
      <c r="E300">
        <v>1000</v>
      </c>
    </row>
    <row r="301" spans="1:5">
      <c r="A301" s="12">
        <v>33614</v>
      </c>
      <c r="B301" s="13" t="s">
        <v>125</v>
      </c>
      <c r="C301" s="13" t="s">
        <v>126</v>
      </c>
      <c r="D301" t="s">
        <v>909</v>
      </c>
      <c r="E301">
        <v>800</v>
      </c>
    </row>
    <row r="302" spans="1:5">
      <c r="A302" s="12">
        <v>33745</v>
      </c>
      <c r="B302" s="13" t="s">
        <v>383</v>
      </c>
      <c r="C302" s="13" t="s">
        <v>920</v>
      </c>
      <c r="D302" t="s">
        <v>909</v>
      </c>
      <c r="E302">
        <v>700</v>
      </c>
    </row>
    <row r="303" spans="1:5">
      <c r="A303" s="12">
        <v>33746</v>
      </c>
      <c r="B303" s="13" t="s">
        <v>125</v>
      </c>
      <c r="C303" s="13" t="s">
        <v>126</v>
      </c>
      <c r="D303" t="s">
        <v>909</v>
      </c>
      <c r="E303">
        <v>800</v>
      </c>
    </row>
    <row r="304" spans="1:5">
      <c r="A304" s="12">
        <v>33791</v>
      </c>
      <c r="B304" s="13" t="s">
        <v>41</v>
      </c>
      <c r="C304" s="13" t="s">
        <v>42</v>
      </c>
      <c r="D304" t="s">
        <v>909</v>
      </c>
      <c r="E304">
        <v>1000</v>
      </c>
    </row>
    <row r="305" spans="1:5">
      <c r="A305" s="12">
        <v>34001</v>
      </c>
      <c r="B305" s="13" t="s">
        <v>670</v>
      </c>
      <c r="C305" s="13" t="s">
        <v>671</v>
      </c>
      <c r="D305" t="s">
        <v>909</v>
      </c>
      <c r="E305">
        <v>700</v>
      </c>
    </row>
    <row r="306" spans="1:5">
      <c r="A306" s="12">
        <v>34070</v>
      </c>
      <c r="B306" s="13" t="s">
        <v>455</v>
      </c>
      <c r="C306" s="13" t="s">
        <v>456</v>
      </c>
      <c r="D306" t="s">
        <v>909</v>
      </c>
      <c r="E306">
        <v>700</v>
      </c>
    </row>
    <row r="307" spans="1:5">
      <c r="A307" s="12">
        <v>34111</v>
      </c>
      <c r="B307" s="13" t="s">
        <v>33</v>
      </c>
      <c r="C307" s="13" t="s">
        <v>34</v>
      </c>
      <c r="D307" t="s">
        <v>909</v>
      </c>
      <c r="E307">
        <v>1000</v>
      </c>
    </row>
    <row r="308" spans="1:5">
      <c r="A308" s="12">
        <v>34264</v>
      </c>
      <c r="B308" s="13" t="s">
        <v>645</v>
      </c>
      <c r="C308" s="13" t="s">
        <v>646</v>
      </c>
      <c r="D308" t="s">
        <v>909</v>
      </c>
      <c r="E308">
        <v>700</v>
      </c>
    </row>
    <row r="309" spans="1:5">
      <c r="A309" s="12">
        <v>34273</v>
      </c>
      <c r="B309" s="13" t="s">
        <v>415</v>
      </c>
      <c r="C309" s="13" t="s">
        <v>416</v>
      </c>
      <c r="D309" t="s">
        <v>909</v>
      </c>
      <c r="E309">
        <v>700</v>
      </c>
    </row>
    <row r="310" spans="1:5">
      <c r="A310" s="12">
        <v>34306</v>
      </c>
      <c r="B310" s="13" t="s">
        <v>743</v>
      </c>
      <c r="C310" s="13" t="s">
        <v>744</v>
      </c>
      <c r="D310" t="s">
        <v>909</v>
      </c>
      <c r="E310">
        <v>600</v>
      </c>
    </row>
    <row r="311" spans="1:5">
      <c r="A311" s="12">
        <v>34352</v>
      </c>
      <c r="B311" s="13" t="s">
        <v>415</v>
      </c>
      <c r="C311" s="13" t="s">
        <v>416</v>
      </c>
      <c r="D311" t="s">
        <v>909</v>
      </c>
      <c r="E311">
        <v>700</v>
      </c>
    </row>
    <row r="312" spans="1:5">
      <c r="A312" s="12">
        <v>34421</v>
      </c>
      <c r="B312" s="13" t="s">
        <v>755</v>
      </c>
      <c r="C312" s="13" t="s">
        <v>756</v>
      </c>
      <c r="D312" t="s">
        <v>909</v>
      </c>
      <c r="E312">
        <v>600</v>
      </c>
    </row>
    <row r="313" spans="1:5">
      <c r="A313" s="12">
        <v>34445</v>
      </c>
      <c r="B313" s="13" t="s">
        <v>861</v>
      </c>
      <c r="C313" s="13" t="s">
        <v>862</v>
      </c>
      <c r="D313" t="s">
        <v>909</v>
      </c>
      <c r="E313">
        <v>600</v>
      </c>
    </row>
    <row r="314" spans="1:5">
      <c r="A314" s="12">
        <v>34460</v>
      </c>
      <c r="B314" s="13" t="s">
        <v>299</v>
      </c>
      <c r="C314" s="13" t="s">
        <v>300</v>
      </c>
      <c r="D314" t="s">
        <v>909</v>
      </c>
      <c r="E314">
        <v>700</v>
      </c>
    </row>
    <row r="315" spans="1:5">
      <c r="A315" s="12">
        <v>34577</v>
      </c>
      <c r="B315" s="13" t="s">
        <v>521</v>
      </c>
      <c r="C315" s="13" t="s">
        <v>522</v>
      </c>
      <c r="D315" t="s">
        <v>909</v>
      </c>
      <c r="E315">
        <v>700</v>
      </c>
    </row>
    <row r="316" spans="1:5">
      <c r="A316" s="12">
        <v>34681</v>
      </c>
      <c r="B316" s="13" t="s">
        <v>218</v>
      </c>
      <c r="C316" s="13" t="s">
        <v>219</v>
      </c>
      <c r="D316" t="s">
        <v>909</v>
      </c>
      <c r="E316">
        <v>800</v>
      </c>
    </row>
    <row r="317" spans="1:5">
      <c r="A317" s="12">
        <v>34875</v>
      </c>
      <c r="B317" s="13" t="s">
        <v>405</v>
      </c>
      <c r="C317" s="13" t="s">
        <v>406</v>
      </c>
      <c r="D317" t="s">
        <v>909</v>
      </c>
      <c r="E317">
        <v>700</v>
      </c>
    </row>
    <row r="318" spans="1:5">
      <c r="A318" s="12">
        <v>3490</v>
      </c>
      <c r="B318" s="13" t="s">
        <v>31</v>
      </c>
      <c r="C318" s="13" t="s">
        <v>32</v>
      </c>
      <c r="D318" t="s">
        <v>909</v>
      </c>
      <c r="E318">
        <v>1000</v>
      </c>
    </row>
    <row r="319" spans="1:5">
      <c r="A319" s="12">
        <v>34930</v>
      </c>
      <c r="B319" s="13" t="s">
        <v>897</v>
      </c>
      <c r="C319" s="13" t="s">
        <v>898</v>
      </c>
      <c r="D319" t="s">
        <v>909</v>
      </c>
      <c r="E319">
        <v>600</v>
      </c>
    </row>
    <row r="320" spans="1:5">
      <c r="A320" s="12">
        <v>35052</v>
      </c>
      <c r="B320" s="13" t="s">
        <v>437</v>
      </c>
      <c r="C320" s="13" t="s">
        <v>438</v>
      </c>
      <c r="D320" t="s">
        <v>909</v>
      </c>
      <c r="E320">
        <v>700</v>
      </c>
    </row>
    <row r="321" spans="1:5">
      <c r="A321" s="12">
        <v>35111</v>
      </c>
      <c r="B321" s="13" t="s">
        <v>351</v>
      </c>
      <c r="C321" s="13" t="s">
        <v>352</v>
      </c>
      <c r="D321" t="s">
        <v>909</v>
      </c>
      <c r="E321">
        <v>700</v>
      </c>
    </row>
    <row r="322" spans="1:5">
      <c r="A322" s="12">
        <v>35114</v>
      </c>
      <c r="B322" s="13" t="s">
        <v>731</v>
      </c>
      <c r="C322" s="13" t="s">
        <v>732</v>
      </c>
      <c r="D322" t="s">
        <v>909</v>
      </c>
      <c r="E322">
        <v>600</v>
      </c>
    </row>
    <row r="323" spans="1:5">
      <c r="A323" s="12">
        <v>35208</v>
      </c>
      <c r="B323" s="13" t="s">
        <v>132</v>
      </c>
      <c r="C323" s="13" t="s">
        <v>133</v>
      </c>
      <c r="D323" t="s">
        <v>909</v>
      </c>
      <c r="E323">
        <v>800</v>
      </c>
    </row>
    <row r="324" spans="1:5">
      <c r="A324" s="12">
        <v>3531</v>
      </c>
      <c r="B324" s="13" t="s">
        <v>72</v>
      </c>
      <c r="C324" s="13" t="s">
        <v>73</v>
      </c>
      <c r="D324" t="s">
        <v>909</v>
      </c>
      <c r="E324">
        <v>1000</v>
      </c>
    </row>
    <row r="325" spans="1:5">
      <c r="A325" s="12">
        <v>35393</v>
      </c>
      <c r="B325" s="13" t="s">
        <v>156</v>
      </c>
      <c r="C325" s="13" t="s">
        <v>157</v>
      </c>
      <c r="D325" t="s">
        <v>909</v>
      </c>
      <c r="E325">
        <v>800</v>
      </c>
    </row>
    <row r="326" spans="1:5">
      <c r="A326" s="12">
        <v>35473</v>
      </c>
      <c r="B326" s="13" t="s">
        <v>279</v>
      </c>
      <c r="C326" s="13" t="s">
        <v>280</v>
      </c>
      <c r="D326" t="s">
        <v>909</v>
      </c>
      <c r="E326">
        <v>700</v>
      </c>
    </row>
    <row r="327" spans="1:5">
      <c r="A327" s="12">
        <v>35634</v>
      </c>
      <c r="B327" s="13" t="s">
        <v>625</v>
      </c>
      <c r="C327" s="13" t="s">
        <v>626</v>
      </c>
      <c r="D327" t="s">
        <v>909</v>
      </c>
      <c r="E327">
        <v>700</v>
      </c>
    </row>
    <row r="328" spans="1:5">
      <c r="A328" s="12">
        <v>35635</v>
      </c>
      <c r="B328" s="13" t="s">
        <v>180</v>
      </c>
      <c r="C328" s="13" t="s">
        <v>181</v>
      </c>
      <c r="D328" t="s">
        <v>909</v>
      </c>
      <c r="E328">
        <v>800</v>
      </c>
    </row>
    <row r="329" spans="1:5">
      <c r="A329" s="12">
        <v>35660</v>
      </c>
      <c r="B329" s="13" t="s">
        <v>49</v>
      </c>
      <c r="C329" s="13" t="s">
        <v>50</v>
      </c>
      <c r="D329" t="s">
        <v>909</v>
      </c>
      <c r="E329">
        <v>1000</v>
      </c>
    </row>
    <row r="330" spans="1:5">
      <c r="A330" s="12">
        <v>35759</v>
      </c>
      <c r="B330" s="13" t="s">
        <v>134</v>
      </c>
      <c r="C330" s="13" t="s">
        <v>135</v>
      </c>
      <c r="D330" t="s">
        <v>909</v>
      </c>
      <c r="E330">
        <v>800</v>
      </c>
    </row>
    <row r="331" spans="1:5">
      <c r="A331" s="12">
        <v>35781</v>
      </c>
      <c r="B331" s="13" t="s">
        <v>609</v>
      </c>
      <c r="C331" s="13" t="s">
        <v>610</v>
      </c>
      <c r="D331" t="s">
        <v>909</v>
      </c>
      <c r="E331">
        <v>700</v>
      </c>
    </row>
    <row r="332" spans="1:5">
      <c r="A332" s="12">
        <v>35787</v>
      </c>
      <c r="B332" s="13" t="s">
        <v>635</v>
      </c>
      <c r="C332" s="13" t="s">
        <v>636</v>
      </c>
      <c r="D332" t="s">
        <v>909</v>
      </c>
      <c r="E332">
        <v>700</v>
      </c>
    </row>
    <row r="333" spans="1:5">
      <c r="A333" s="12">
        <v>36039</v>
      </c>
      <c r="B333" s="13" t="s">
        <v>29</v>
      </c>
      <c r="C333" s="13" t="s">
        <v>30</v>
      </c>
      <c r="D333" t="s">
        <v>909</v>
      </c>
      <c r="E333">
        <v>1000</v>
      </c>
    </row>
    <row r="334" spans="1:5">
      <c r="A334" s="12">
        <v>36087</v>
      </c>
      <c r="B334" s="13" t="s">
        <v>16</v>
      </c>
      <c r="C334" s="13" t="s">
        <v>17</v>
      </c>
      <c r="D334" t="s">
        <v>909</v>
      </c>
      <c r="E334">
        <v>1000</v>
      </c>
    </row>
    <row r="335" spans="1:5">
      <c r="A335" s="12">
        <v>36106</v>
      </c>
      <c r="B335" s="13" t="s">
        <v>523</v>
      </c>
      <c r="C335" s="13" t="s">
        <v>524</v>
      </c>
      <c r="D335" t="s">
        <v>909</v>
      </c>
      <c r="E335">
        <v>700</v>
      </c>
    </row>
    <row r="336" spans="1:5">
      <c r="A336" s="12">
        <v>36176</v>
      </c>
      <c r="B336" s="13" t="s">
        <v>74</v>
      </c>
      <c r="C336" s="13" t="s">
        <v>921</v>
      </c>
      <c r="D336" t="s">
        <v>909</v>
      </c>
      <c r="E336">
        <v>1000</v>
      </c>
    </row>
    <row r="337" spans="1:5">
      <c r="A337" s="12">
        <v>36241</v>
      </c>
      <c r="B337" s="13" t="s">
        <v>653</v>
      </c>
      <c r="C337" s="13" t="s">
        <v>654</v>
      </c>
      <c r="D337" t="s">
        <v>909</v>
      </c>
      <c r="E337">
        <v>700</v>
      </c>
    </row>
    <row r="338" spans="1:5">
      <c r="A338" s="12">
        <v>36317</v>
      </c>
      <c r="B338" s="13" t="s">
        <v>100</v>
      </c>
      <c r="C338" s="13" t="s">
        <v>101</v>
      </c>
      <c r="D338" t="s">
        <v>909</v>
      </c>
      <c r="E338">
        <v>1000</v>
      </c>
    </row>
    <row r="339" spans="1:5">
      <c r="A339" s="12">
        <v>36333</v>
      </c>
      <c r="B339" s="13" t="s">
        <v>867</v>
      </c>
      <c r="C339" s="13" t="s">
        <v>868</v>
      </c>
      <c r="D339" t="s">
        <v>909</v>
      </c>
      <c r="E339">
        <v>600</v>
      </c>
    </row>
    <row r="340" spans="1:5">
      <c r="A340" s="12">
        <v>36412</v>
      </c>
      <c r="B340" s="13" t="s">
        <v>88</v>
      </c>
      <c r="C340" s="13" t="s">
        <v>89</v>
      </c>
      <c r="D340" t="s">
        <v>909</v>
      </c>
      <c r="E340">
        <v>1000</v>
      </c>
    </row>
    <row r="341" spans="1:5">
      <c r="A341" s="12">
        <v>36558</v>
      </c>
      <c r="B341" s="13" t="s">
        <v>136</v>
      </c>
      <c r="C341" s="13" t="s">
        <v>137</v>
      </c>
      <c r="D341" t="s">
        <v>909</v>
      </c>
      <c r="E341">
        <v>800</v>
      </c>
    </row>
    <row r="342" spans="1:5">
      <c r="A342" s="12">
        <v>36564</v>
      </c>
      <c r="B342" s="13" t="s">
        <v>737</v>
      </c>
      <c r="C342" s="13" t="s">
        <v>738</v>
      </c>
      <c r="D342" t="s">
        <v>909</v>
      </c>
      <c r="E342">
        <v>600</v>
      </c>
    </row>
    <row r="343" spans="1:5">
      <c r="A343" s="12">
        <v>36626</v>
      </c>
      <c r="B343" s="13" t="s">
        <v>680</v>
      </c>
      <c r="C343" s="13" t="s">
        <v>681</v>
      </c>
      <c r="D343" t="s">
        <v>909</v>
      </c>
      <c r="E343">
        <v>700</v>
      </c>
    </row>
    <row r="344" spans="1:5">
      <c r="A344" s="12">
        <v>36728</v>
      </c>
      <c r="B344" s="13" t="s">
        <v>475</v>
      </c>
      <c r="C344" s="13" t="s">
        <v>476</v>
      </c>
      <c r="D344" t="s">
        <v>909</v>
      </c>
      <c r="E344">
        <v>700</v>
      </c>
    </row>
    <row r="345" spans="1:5">
      <c r="A345" s="12">
        <v>36768</v>
      </c>
      <c r="B345" s="13" t="s">
        <v>712</v>
      </c>
      <c r="C345" s="13" t="s">
        <v>713</v>
      </c>
      <c r="D345" t="s">
        <v>909</v>
      </c>
      <c r="E345">
        <v>600</v>
      </c>
    </row>
    <row r="346" spans="1:5">
      <c r="A346" s="12">
        <v>36837</v>
      </c>
      <c r="B346" s="13" t="s">
        <v>431</v>
      </c>
      <c r="C346" s="13" t="s">
        <v>432</v>
      </c>
      <c r="D346" t="s">
        <v>909</v>
      </c>
      <c r="E346">
        <v>700</v>
      </c>
    </row>
    <row r="347" spans="1:5">
      <c r="A347" s="12">
        <v>36934</v>
      </c>
      <c r="B347" s="13" t="s">
        <v>493</v>
      </c>
      <c r="C347" s="13" t="s">
        <v>494</v>
      </c>
      <c r="D347" t="s">
        <v>909</v>
      </c>
      <c r="E347">
        <v>700</v>
      </c>
    </row>
    <row r="348" spans="1:5">
      <c r="A348" s="12">
        <v>37022</v>
      </c>
      <c r="B348" s="13" t="s">
        <v>65</v>
      </c>
      <c r="C348" s="13" t="s">
        <v>66</v>
      </c>
      <c r="D348" t="s">
        <v>909</v>
      </c>
      <c r="E348">
        <v>1000</v>
      </c>
    </row>
    <row r="349" spans="1:5">
      <c r="A349" s="12">
        <v>3707</v>
      </c>
      <c r="B349" s="13" t="s">
        <v>65</v>
      </c>
      <c r="C349" s="13" t="s">
        <v>66</v>
      </c>
      <c r="D349" t="s">
        <v>909</v>
      </c>
      <c r="E349">
        <v>1000</v>
      </c>
    </row>
    <row r="350" spans="1:5">
      <c r="A350" s="12">
        <v>37102</v>
      </c>
      <c r="B350" s="13" t="s">
        <v>41</v>
      </c>
      <c r="C350" s="13" t="s">
        <v>42</v>
      </c>
      <c r="D350" t="s">
        <v>909</v>
      </c>
      <c r="E350">
        <v>1000</v>
      </c>
    </row>
    <row r="351" spans="1:5">
      <c r="A351" s="12">
        <v>37294</v>
      </c>
      <c r="B351" s="13" t="s">
        <v>670</v>
      </c>
      <c r="C351" s="13" t="s">
        <v>671</v>
      </c>
      <c r="D351" t="s">
        <v>909</v>
      </c>
      <c r="E351">
        <v>700</v>
      </c>
    </row>
    <row r="352" spans="1:5">
      <c r="A352" s="12">
        <v>37456</v>
      </c>
      <c r="B352" s="13" t="s">
        <v>33</v>
      </c>
      <c r="C352" s="13" t="s">
        <v>34</v>
      </c>
      <c r="D352" t="s">
        <v>909</v>
      </c>
      <c r="E352">
        <v>1000</v>
      </c>
    </row>
    <row r="353" spans="1:5">
      <c r="A353" s="12">
        <v>37467</v>
      </c>
      <c r="B353" s="13" t="s">
        <v>593</v>
      </c>
      <c r="C353" s="13" t="s">
        <v>594</v>
      </c>
      <c r="D353" t="s">
        <v>909</v>
      </c>
      <c r="E353">
        <v>700</v>
      </c>
    </row>
    <row r="354" spans="1:5">
      <c r="A354" s="12">
        <v>37501</v>
      </c>
      <c r="B354" s="13" t="s">
        <v>347</v>
      </c>
      <c r="C354" s="13" t="s">
        <v>348</v>
      </c>
      <c r="D354" t="s">
        <v>909</v>
      </c>
      <c r="E354">
        <v>700</v>
      </c>
    </row>
    <row r="355" spans="1:5">
      <c r="A355" s="12">
        <v>37520</v>
      </c>
      <c r="B355" s="13" t="s">
        <v>527</v>
      </c>
      <c r="C355" s="13" t="s">
        <v>528</v>
      </c>
      <c r="D355" t="s">
        <v>909</v>
      </c>
      <c r="E355">
        <v>700</v>
      </c>
    </row>
    <row r="356" spans="1:5">
      <c r="A356" s="12">
        <v>37571</v>
      </c>
      <c r="B356" s="13" t="s">
        <v>653</v>
      </c>
      <c r="C356" s="13" t="s">
        <v>654</v>
      </c>
      <c r="D356" t="s">
        <v>909</v>
      </c>
      <c r="E356">
        <v>700</v>
      </c>
    </row>
    <row r="357" spans="1:5">
      <c r="A357" s="12">
        <v>37670</v>
      </c>
      <c r="B357" s="13" t="s">
        <v>224</v>
      </c>
      <c r="C357" s="13" t="s">
        <v>225</v>
      </c>
      <c r="D357" t="s">
        <v>909</v>
      </c>
      <c r="E357">
        <v>800</v>
      </c>
    </row>
    <row r="358" spans="1:5">
      <c r="A358" s="12">
        <v>37679</v>
      </c>
      <c r="B358" s="13" t="s">
        <v>204</v>
      </c>
      <c r="C358" s="13" t="s">
        <v>205</v>
      </c>
      <c r="D358" t="s">
        <v>909</v>
      </c>
      <c r="E358">
        <v>800</v>
      </c>
    </row>
    <row r="359" spans="1:5">
      <c r="A359" s="12">
        <v>37707</v>
      </c>
      <c r="B359" s="13" t="s">
        <v>515</v>
      </c>
      <c r="C359" s="13" t="s">
        <v>516</v>
      </c>
      <c r="D359" t="s">
        <v>909</v>
      </c>
      <c r="E359">
        <v>700</v>
      </c>
    </row>
    <row r="360" spans="1:5">
      <c r="A360" s="12">
        <v>37811</v>
      </c>
      <c r="B360" s="13" t="s">
        <v>252</v>
      </c>
      <c r="C360" s="13" t="s">
        <v>253</v>
      </c>
      <c r="D360" t="s">
        <v>909</v>
      </c>
      <c r="E360">
        <v>800</v>
      </c>
    </row>
    <row r="361" spans="1:5">
      <c r="A361" s="12">
        <v>37835</v>
      </c>
      <c r="B361" s="13" t="s">
        <v>759</v>
      </c>
      <c r="C361" s="13" t="s">
        <v>760</v>
      </c>
      <c r="D361" t="s">
        <v>909</v>
      </c>
      <c r="E361">
        <v>600</v>
      </c>
    </row>
    <row r="362" spans="1:5">
      <c r="A362" s="12">
        <v>37852</v>
      </c>
      <c r="B362" s="13" t="s">
        <v>100</v>
      </c>
      <c r="C362" s="13" t="s">
        <v>101</v>
      </c>
      <c r="D362" t="s">
        <v>909</v>
      </c>
      <c r="E362">
        <v>1000</v>
      </c>
    </row>
    <row r="363" spans="1:5">
      <c r="A363" s="12">
        <v>37928</v>
      </c>
      <c r="B363" s="13" t="s">
        <v>475</v>
      </c>
      <c r="C363" s="13" t="s">
        <v>476</v>
      </c>
      <c r="D363" t="s">
        <v>909</v>
      </c>
      <c r="E363">
        <v>700</v>
      </c>
    </row>
    <row r="364" spans="1:5">
      <c r="A364" s="12">
        <v>37929</v>
      </c>
      <c r="B364" s="13" t="s">
        <v>35</v>
      </c>
      <c r="C364" s="13" t="s">
        <v>36</v>
      </c>
      <c r="D364" t="s">
        <v>909</v>
      </c>
      <c r="E364">
        <v>1000</v>
      </c>
    </row>
    <row r="365" spans="1:5">
      <c r="A365" s="12">
        <v>38108</v>
      </c>
      <c r="B365" s="13" t="s">
        <v>51</v>
      </c>
      <c r="C365" s="13" t="s">
        <v>52</v>
      </c>
      <c r="D365" t="s">
        <v>909</v>
      </c>
      <c r="E365">
        <v>1000</v>
      </c>
    </row>
    <row r="366" spans="1:5">
      <c r="A366" s="12">
        <v>38206</v>
      </c>
      <c r="B366" s="13" t="s">
        <v>70</v>
      </c>
      <c r="C366" s="13" t="s">
        <v>71</v>
      </c>
      <c r="D366" t="s">
        <v>909</v>
      </c>
      <c r="E366">
        <v>1000</v>
      </c>
    </row>
    <row r="367" spans="1:5">
      <c r="A367" s="12">
        <v>38221</v>
      </c>
      <c r="B367" s="13" t="s">
        <v>655</v>
      </c>
      <c r="C367" s="13" t="s">
        <v>656</v>
      </c>
      <c r="D367" t="s">
        <v>909</v>
      </c>
      <c r="E367">
        <v>700</v>
      </c>
    </row>
    <row r="368" spans="1:5">
      <c r="A368" s="12">
        <v>38246</v>
      </c>
      <c r="B368" s="13" t="s">
        <v>413</v>
      </c>
      <c r="C368" s="13" t="s">
        <v>414</v>
      </c>
      <c r="D368" t="s">
        <v>909</v>
      </c>
      <c r="E368">
        <v>700</v>
      </c>
    </row>
    <row r="369" spans="1:5">
      <c r="A369" s="12">
        <v>38335</v>
      </c>
      <c r="B369" s="13" t="s">
        <v>873</v>
      </c>
      <c r="C369" s="13" t="s">
        <v>874</v>
      </c>
      <c r="D369" t="s">
        <v>909</v>
      </c>
      <c r="E369">
        <v>600</v>
      </c>
    </row>
    <row r="370" spans="1:5">
      <c r="A370" s="12">
        <v>3852</v>
      </c>
      <c r="B370" s="13" t="s">
        <v>16</v>
      </c>
      <c r="C370" s="13" t="s">
        <v>17</v>
      </c>
      <c r="D370" t="s">
        <v>909</v>
      </c>
      <c r="E370">
        <v>1000</v>
      </c>
    </row>
    <row r="371" spans="1:5">
      <c r="A371" s="12">
        <v>38558</v>
      </c>
      <c r="B371" s="13" t="s">
        <v>164</v>
      </c>
      <c r="C371" s="13" t="s">
        <v>165</v>
      </c>
      <c r="D371" t="s">
        <v>909</v>
      </c>
      <c r="E371">
        <v>800</v>
      </c>
    </row>
    <row r="372" spans="1:5">
      <c r="A372" s="12">
        <v>38605</v>
      </c>
      <c r="B372" s="13" t="s">
        <v>591</v>
      </c>
      <c r="C372" s="13" t="s">
        <v>592</v>
      </c>
      <c r="D372" t="s">
        <v>909</v>
      </c>
      <c r="E372">
        <v>700</v>
      </c>
    </row>
    <row r="373" spans="1:5">
      <c r="A373" s="12">
        <v>38643</v>
      </c>
      <c r="B373" s="13" t="s">
        <v>367</v>
      </c>
      <c r="C373" s="13" t="s">
        <v>368</v>
      </c>
      <c r="D373" t="s">
        <v>909</v>
      </c>
      <c r="E373">
        <v>700</v>
      </c>
    </row>
    <row r="374" spans="1:5">
      <c r="A374" s="12">
        <v>38651</v>
      </c>
      <c r="B374" s="13" t="s">
        <v>98</v>
      </c>
      <c r="C374" s="13" t="s">
        <v>99</v>
      </c>
      <c r="D374" t="s">
        <v>909</v>
      </c>
      <c r="E374">
        <v>1000</v>
      </c>
    </row>
    <row r="375" spans="1:5">
      <c r="A375" s="12">
        <v>38700</v>
      </c>
      <c r="B375" s="13" t="s">
        <v>375</v>
      </c>
      <c r="C375" s="13" t="s">
        <v>376</v>
      </c>
      <c r="D375" t="s">
        <v>909</v>
      </c>
      <c r="E375">
        <v>700</v>
      </c>
    </row>
    <row r="376" spans="1:5">
      <c r="A376" s="12">
        <v>38702</v>
      </c>
      <c r="B376" s="13" t="s">
        <v>218</v>
      </c>
      <c r="C376" s="13" t="s">
        <v>219</v>
      </c>
      <c r="D376" t="s">
        <v>909</v>
      </c>
      <c r="E376">
        <v>800</v>
      </c>
    </row>
    <row r="377" spans="1:5">
      <c r="A377" s="12">
        <v>38735</v>
      </c>
      <c r="B377" s="13" t="s">
        <v>136</v>
      </c>
      <c r="C377" s="13" t="s">
        <v>137</v>
      </c>
      <c r="D377" t="s">
        <v>909</v>
      </c>
      <c r="E377">
        <v>800</v>
      </c>
    </row>
    <row r="378" spans="1:5">
      <c r="A378" s="12">
        <v>38831</v>
      </c>
      <c r="B378" s="13" t="s">
        <v>419</v>
      </c>
      <c r="C378" s="13" t="s">
        <v>420</v>
      </c>
      <c r="D378" t="s">
        <v>909</v>
      </c>
      <c r="E378">
        <v>700</v>
      </c>
    </row>
    <row r="379" spans="1:5">
      <c r="A379" s="12">
        <v>39015</v>
      </c>
      <c r="B379" s="13" t="s">
        <v>463</v>
      </c>
      <c r="C379" s="13" t="s">
        <v>464</v>
      </c>
      <c r="D379" t="s">
        <v>909</v>
      </c>
      <c r="E379">
        <v>700</v>
      </c>
    </row>
    <row r="380" spans="1:5">
      <c r="A380" s="12">
        <v>39111</v>
      </c>
      <c r="B380" s="13" t="s">
        <v>692</v>
      </c>
      <c r="C380" s="13" t="s">
        <v>693</v>
      </c>
      <c r="D380" t="s">
        <v>909</v>
      </c>
      <c r="E380">
        <v>700</v>
      </c>
    </row>
    <row r="381" spans="1:5">
      <c r="A381" s="12">
        <v>3913</v>
      </c>
      <c r="B381" s="13" t="s">
        <v>94</v>
      </c>
      <c r="C381" s="13" t="s">
        <v>95</v>
      </c>
      <c r="D381" t="s">
        <v>909</v>
      </c>
      <c r="E381">
        <v>1000</v>
      </c>
    </row>
    <row r="382" spans="1:5">
      <c r="A382" s="12">
        <v>39131</v>
      </c>
      <c r="B382" s="13" t="s">
        <v>767</v>
      </c>
      <c r="C382" s="13" t="s">
        <v>768</v>
      </c>
      <c r="D382" t="s">
        <v>909</v>
      </c>
      <c r="E382">
        <v>600</v>
      </c>
    </row>
    <row r="383" spans="1:5">
      <c r="A383" s="12">
        <v>39164</v>
      </c>
      <c r="B383" s="13" t="s">
        <v>753</v>
      </c>
      <c r="C383" s="13" t="s">
        <v>754</v>
      </c>
      <c r="D383" t="s">
        <v>909</v>
      </c>
      <c r="E383">
        <v>600</v>
      </c>
    </row>
    <row r="384" spans="1:5">
      <c r="A384" s="12">
        <v>39223</v>
      </c>
      <c r="B384" s="13" t="s">
        <v>725</v>
      </c>
      <c r="C384" s="13" t="s">
        <v>726</v>
      </c>
      <c r="D384" t="s">
        <v>909</v>
      </c>
      <c r="E384">
        <v>600</v>
      </c>
    </row>
    <row r="385" spans="1:5">
      <c r="A385" s="12">
        <v>39240</v>
      </c>
      <c r="B385" s="13" t="s">
        <v>47</v>
      </c>
      <c r="C385" s="13" t="s">
        <v>48</v>
      </c>
      <c r="D385" t="s">
        <v>909</v>
      </c>
      <c r="E385">
        <v>1000</v>
      </c>
    </row>
    <row r="386" spans="1:5">
      <c r="A386" s="12">
        <v>39394</v>
      </c>
      <c r="B386" s="13" t="s">
        <v>25</v>
      </c>
      <c r="C386" s="13" t="s">
        <v>26</v>
      </c>
      <c r="D386" t="s">
        <v>909</v>
      </c>
      <c r="E386">
        <v>1000</v>
      </c>
    </row>
    <row r="387" spans="1:5">
      <c r="A387" s="12">
        <v>39465</v>
      </c>
      <c r="B387" s="13" t="s">
        <v>138</v>
      </c>
      <c r="C387" s="13" t="s">
        <v>139</v>
      </c>
      <c r="D387" t="s">
        <v>909</v>
      </c>
      <c r="E387">
        <v>800</v>
      </c>
    </row>
    <row r="388" spans="1:5">
      <c r="A388" s="12">
        <v>39496</v>
      </c>
      <c r="B388" s="13" t="s">
        <v>164</v>
      </c>
      <c r="C388" s="13" t="s">
        <v>165</v>
      </c>
      <c r="D388" t="s">
        <v>909</v>
      </c>
      <c r="E388">
        <v>800</v>
      </c>
    </row>
    <row r="389" spans="1:5">
      <c r="A389" s="12">
        <v>39582</v>
      </c>
      <c r="B389" s="13" t="s">
        <v>897</v>
      </c>
      <c r="C389" s="13" t="s">
        <v>898</v>
      </c>
      <c r="D389" t="s">
        <v>909</v>
      </c>
      <c r="E389">
        <v>600</v>
      </c>
    </row>
    <row r="390" spans="1:5">
      <c r="A390" s="12">
        <v>39700</v>
      </c>
      <c r="B390" s="13" t="s">
        <v>293</v>
      </c>
      <c r="C390" s="13" t="s">
        <v>294</v>
      </c>
      <c r="D390" t="s">
        <v>909</v>
      </c>
      <c r="E390">
        <v>700</v>
      </c>
    </row>
    <row r="391" spans="1:5">
      <c r="A391" s="12">
        <v>39969</v>
      </c>
      <c r="B391" s="13" t="s">
        <v>194</v>
      </c>
      <c r="C391" s="13" t="s">
        <v>195</v>
      </c>
      <c r="D391" t="s">
        <v>909</v>
      </c>
      <c r="E391">
        <v>800</v>
      </c>
    </row>
    <row r="392" spans="1:5">
      <c r="A392" s="12">
        <v>39978</v>
      </c>
      <c r="B392" s="13" t="s">
        <v>413</v>
      </c>
      <c r="C392" s="13" t="s">
        <v>414</v>
      </c>
      <c r="D392" t="s">
        <v>909</v>
      </c>
      <c r="E392">
        <v>700</v>
      </c>
    </row>
    <row r="393" spans="1:5">
      <c r="A393" s="12">
        <v>40046</v>
      </c>
      <c r="B393" s="13" t="s">
        <v>144</v>
      </c>
      <c r="C393" s="13" t="s">
        <v>145</v>
      </c>
      <c r="D393" t="s">
        <v>909</v>
      </c>
      <c r="E393">
        <v>800</v>
      </c>
    </row>
    <row r="394" spans="1:5">
      <c r="A394" s="12">
        <v>40072</v>
      </c>
      <c r="B394" s="13" t="s">
        <v>533</v>
      </c>
      <c r="C394" s="13" t="s">
        <v>534</v>
      </c>
      <c r="D394" t="s">
        <v>909</v>
      </c>
      <c r="E394">
        <v>700</v>
      </c>
    </row>
    <row r="395" spans="1:5">
      <c r="A395" s="12">
        <v>40075</v>
      </c>
      <c r="B395" s="13" t="s">
        <v>785</v>
      </c>
      <c r="C395" s="13" t="s">
        <v>786</v>
      </c>
      <c r="D395" t="s">
        <v>909</v>
      </c>
      <c r="E395">
        <v>600</v>
      </c>
    </row>
    <row r="396" spans="1:5">
      <c r="A396" s="12">
        <v>40142</v>
      </c>
      <c r="B396" s="13" t="s">
        <v>208</v>
      </c>
      <c r="C396" s="13" t="s">
        <v>209</v>
      </c>
      <c r="D396" t="s">
        <v>909</v>
      </c>
      <c r="E396">
        <v>800</v>
      </c>
    </row>
    <row r="397" spans="1:5">
      <c r="A397" s="12">
        <v>40194</v>
      </c>
      <c r="B397" s="13" t="s">
        <v>240</v>
      </c>
      <c r="C397" s="13" t="s">
        <v>241</v>
      </c>
      <c r="D397" t="s">
        <v>909</v>
      </c>
      <c r="E397">
        <v>800</v>
      </c>
    </row>
    <row r="398" spans="1:5">
      <c r="A398" s="12">
        <v>40260</v>
      </c>
      <c r="B398" s="13" t="s">
        <v>615</v>
      </c>
      <c r="C398" s="13" t="s">
        <v>616</v>
      </c>
      <c r="D398" t="s">
        <v>909</v>
      </c>
      <c r="E398">
        <v>700</v>
      </c>
    </row>
    <row r="399" spans="1:5">
      <c r="A399" s="12">
        <v>40367</v>
      </c>
      <c r="B399" s="13" t="s">
        <v>767</v>
      </c>
      <c r="C399" s="13" t="s">
        <v>768</v>
      </c>
      <c r="D399" t="s">
        <v>909</v>
      </c>
      <c r="E399">
        <v>600</v>
      </c>
    </row>
    <row r="400" spans="1:5">
      <c r="A400" s="12">
        <v>40409</v>
      </c>
      <c r="B400" s="13" t="s">
        <v>100</v>
      </c>
      <c r="C400" s="13" t="s">
        <v>101</v>
      </c>
      <c r="D400" t="s">
        <v>909</v>
      </c>
      <c r="E400">
        <v>1000</v>
      </c>
    </row>
    <row r="401" spans="1:5">
      <c r="A401" s="12">
        <v>40429</v>
      </c>
      <c r="B401" s="13" t="s">
        <v>65</v>
      </c>
      <c r="C401" s="13" t="s">
        <v>66</v>
      </c>
      <c r="D401" t="s">
        <v>909</v>
      </c>
      <c r="E401">
        <v>1000</v>
      </c>
    </row>
    <row r="402" spans="1:5">
      <c r="A402" s="12">
        <v>40438</v>
      </c>
      <c r="B402" s="13" t="s">
        <v>21</v>
      </c>
      <c r="C402" s="13" t="s">
        <v>22</v>
      </c>
      <c r="D402" t="s">
        <v>909</v>
      </c>
      <c r="E402">
        <v>1000</v>
      </c>
    </row>
    <row r="403" spans="1:5">
      <c r="A403" s="12">
        <v>40455</v>
      </c>
      <c r="B403" s="13" t="s">
        <v>74</v>
      </c>
      <c r="C403" s="13" t="s">
        <v>921</v>
      </c>
      <c r="D403" t="s">
        <v>909</v>
      </c>
      <c r="E403">
        <v>1000</v>
      </c>
    </row>
    <row r="404" spans="1:5">
      <c r="A404" s="12">
        <v>40456</v>
      </c>
      <c r="B404" s="13" t="s">
        <v>180</v>
      </c>
      <c r="C404" s="13" t="s">
        <v>181</v>
      </c>
      <c r="D404" t="s">
        <v>909</v>
      </c>
      <c r="E404">
        <v>800</v>
      </c>
    </row>
    <row r="405" spans="1:5">
      <c r="A405" s="12">
        <v>40487</v>
      </c>
      <c r="B405" s="13" t="s">
        <v>787</v>
      </c>
      <c r="C405" s="13" t="s">
        <v>788</v>
      </c>
      <c r="D405" t="s">
        <v>909</v>
      </c>
      <c r="E405">
        <v>600</v>
      </c>
    </row>
    <row r="406" spans="1:5">
      <c r="A406" s="12">
        <v>40567</v>
      </c>
      <c r="B406" s="13" t="s">
        <v>429</v>
      </c>
      <c r="C406" s="13" t="s">
        <v>430</v>
      </c>
      <c r="D406" t="s">
        <v>909</v>
      </c>
      <c r="E406">
        <v>700</v>
      </c>
    </row>
    <row r="407" spans="1:5">
      <c r="A407" s="12">
        <v>40571</v>
      </c>
      <c r="B407" s="13" t="s">
        <v>531</v>
      </c>
      <c r="C407" s="13" t="s">
        <v>532</v>
      </c>
      <c r="D407" t="s">
        <v>909</v>
      </c>
      <c r="E407">
        <v>700</v>
      </c>
    </row>
    <row r="408" spans="1:5">
      <c r="A408" s="12">
        <v>40592</v>
      </c>
      <c r="B408" s="13" t="s">
        <v>47</v>
      </c>
      <c r="C408" s="13" t="s">
        <v>48</v>
      </c>
      <c r="D408" t="s">
        <v>909</v>
      </c>
      <c r="E408">
        <v>1000</v>
      </c>
    </row>
    <row r="409" spans="1:5">
      <c r="A409" s="12">
        <v>40611</v>
      </c>
      <c r="B409" s="13" t="s">
        <v>827</v>
      </c>
      <c r="C409" s="13" t="s">
        <v>828</v>
      </c>
      <c r="D409" t="s">
        <v>909</v>
      </c>
      <c r="E409">
        <v>600</v>
      </c>
    </row>
    <row r="410" spans="1:5">
      <c r="A410" s="12">
        <v>40619</v>
      </c>
      <c r="B410" s="13" t="s">
        <v>567</v>
      </c>
      <c r="C410" s="13" t="s">
        <v>568</v>
      </c>
      <c r="D410" t="s">
        <v>909</v>
      </c>
      <c r="E410">
        <v>700</v>
      </c>
    </row>
    <row r="411" spans="1:5">
      <c r="A411" s="12">
        <v>40622</v>
      </c>
      <c r="B411" s="13" t="s">
        <v>37</v>
      </c>
      <c r="C411" s="13" t="s">
        <v>38</v>
      </c>
      <c r="D411" t="s">
        <v>909</v>
      </c>
      <c r="E411">
        <v>1000</v>
      </c>
    </row>
    <row r="412" spans="1:5">
      <c r="A412" s="12">
        <v>40623</v>
      </c>
      <c r="B412" s="13" t="s">
        <v>12</v>
      </c>
      <c r="C412" s="13" t="s">
        <v>922</v>
      </c>
      <c r="D412" t="s">
        <v>909</v>
      </c>
      <c r="E412">
        <v>1000</v>
      </c>
    </row>
    <row r="413" spans="1:5">
      <c r="A413" s="12">
        <v>40629</v>
      </c>
      <c r="B413" s="13" t="s">
        <v>156</v>
      </c>
      <c r="C413" s="13" t="s">
        <v>157</v>
      </c>
      <c r="D413" t="s">
        <v>909</v>
      </c>
      <c r="E413">
        <v>800</v>
      </c>
    </row>
    <row r="414" spans="1:5">
      <c r="A414" s="12">
        <v>40642</v>
      </c>
      <c r="B414" s="13" t="s">
        <v>226</v>
      </c>
      <c r="C414" s="13" t="s">
        <v>227</v>
      </c>
      <c r="D414" t="s">
        <v>909</v>
      </c>
      <c r="E414">
        <v>800</v>
      </c>
    </row>
    <row r="415" spans="1:5">
      <c r="A415" s="12">
        <v>40739</v>
      </c>
      <c r="B415" s="13" t="s">
        <v>212</v>
      </c>
      <c r="C415" s="13" t="s">
        <v>213</v>
      </c>
      <c r="D415" t="s">
        <v>909</v>
      </c>
      <c r="E415">
        <v>800</v>
      </c>
    </row>
    <row r="416" spans="1:5">
      <c r="A416" s="12">
        <v>40743</v>
      </c>
      <c r="B416" s="13" t="s">
        <v>787</v>
      </c>
      <c r="C416" s="13" t="s">
        <v>788</v>
      </c>
      <c r="D416" t="s">
        <v>909</v>
      </c>
      <c r="E416">
        <v>600</v>
      </c>
    </row>
    <row r="417" spans="1:5">
      <c r="A417" s="12">
        <v>40763</v>
      </c>
      <c r="B417" s="13" t="s">
        <v>719</v>
      </c>
      <c r="C417" s="13" t="s">
        <v>720</v>
      </c>
      <c r="D417" t="s">
        <v>909</v>
      </c>
      <c r="E417">
        <v>600</v>
      </c>
    </row>
    <row r="418" spans="1:5">
      <c r="A418" s="12">
        <v>40806</v>
      </c>
      <c r="B418" s="13" t="s">
        <v>148</v>
      </c>
      <c r="C418" s="13" t="s">
        <v>149</v>
      </c>
      <c r="D418" t="s">
        <v>909</v>
      </c>
      <c r="E418">
        <v>800</v>
      </c>
    </row>
    <row r="419" spans="1:5">
      <c r="A419" s="12">
        <v>40808</v>
      </c>
      <c r="B419" s="13" t="s">
        <v>431</v>
      </c>
      <c r="C419" s="13" t="s">
        <v>432</v>
      </c>
      <c r="D419" t="s">
        <v>909</v>
      </c>
      <c r="E419">
        <v>700</v>
      </c>
    </row>
    <row r="420" spans="1:5">
      <c r="A420" s="12">
        <v>40839</v>
      </c>
      <c r="B420" s="13" t="s">
        <v>49</v>
      </c>
      <c r="C420" s="13" t="s">
        <v>50</v>
      </c>
      <c r="D420" t="s">
        <v>909</v>
      </c>
      <c r="E420">
        <v>1000</v>
      </c>
    </row>
    <row r="421" spans="1:5">
      <c r="A421" s="12">
        <v>40841</v>
      </c>
      <c r="B421" s="13" t="s">
        <v>441</v>
      </c>
      <c r="C421" s="13" t="s">
        <v>442</v>
      </c>
      <c r="D421" t="s">
        <v>909</v>
      </c>
      <c r="E421">
        <v>700</v>
      </c>
    </row>
    <row r="422" spans="1:5">
      <c r="A422" s="12">
        <v>40845</v>
      </c>
      <c r="B422" s="13" t="s">
        <v>767</v>
      </c>
      <c r="C422" s="13" t="s">
        <v>768</v>
      </c>
      <c r="D422" t="s">
        <v>909</v>
      </c>
      <c r="E422">
        <v>600</v>
      </c>
    </row>
    <row r="423" spans="1:5">
      <c r="A423" s="12">
        <v>40878</v>
      </c>
      <c r="B423" s="13" t="s">
        <v>739</v>
      </c>
      <c r="C423" s="13" t="s">
        <v>740</v>
      </c>
      <c r="D423" t="s">
        <v>909</v>
      </c>
      <c r="E423">
        <v>600</v>
      </c>
    </row>
    <row r="424" spans="1:5">
      <c r="A424" s="12">
        <v>40901</v>
      </c>
      <c r="B424" s="13" t="s">
        <v>607</v>
      </c>
      <c r="C424" s="13" t="s">
        <v>608</v>
      </c>
      <c r="D424" t="s">
        <v>909</v>
      </c>
      <c r="E424">
        <v>700</v>
      </c>
    </row>
    <row r="425" spans="1:5">
      <c r="A425" s="12">
        <v>40905</v>
      </c>
      <c r="B425" s="13" t="s">
        <v>489</v>
      </c>
      <c r="C425" s="13" t="s">
        <v>490</v>
      </c>
      <c r="D425" t="s">
        <v>909</v>
      </c>
      <c r="E425">
        <v>700</v>
      </c>
    </row>
    <row r="426" spans="1:5">
      <c r="A426" s="12">
        <v>40911</v>
      </c>
      <c r="B426" s="13" t="s">
        <v>459</v>
      </c>
      <c r="C426" s="13" t="s">
        <v>460</v>
      </c>
      <c r="D426" t="s">
        <v>909</v>
      </c>
      <c r="E426">
        <v>700</v>
      </c>
    </row>
    <row r="427" spans="1:5">
      <c r="A427" s="12">
        <v>40952</v>
      </c>
      <c r="B427" s="13" t="s">
        <v>375</v>
      </c>
      <c r="C427" s="13" t="s">
        <v>376</v>
      </c>
      <c r="D427" t="s">
        <v>909</v>
      </c>
      <c r="E427">
        <v>700</v>
      </c>
    </row>
    <row r="428" spans="1:5">
      <c r="A428" s="12">
        <v>40964</v>
      </c>
      <c r="B428" s="13" t="s">
        <v>785</v>
      </c>
      <c r="C428" s="13" t="s">
        <v>786</v>
      </c>
      <c r="D428" t="s">
        <v>909</v>
      </c>
      <c r="E428">
        <v>600</v>
      </c>
    </row>
    <row r="429" spans="1:5">
      <c r="A429" s="12">
        <v>40992</v>
      </c>
      <c r="B429" s="13" t="s">
        <v>413</v>
      </c>
      <c r="C429" s="13" t="s">
        <v>414</v>
      </c>
      <c r="D429" t="s">
        <v>909</v>
      </c>
      <c r="E429">
        <v>700</v>
      </c>
    </row>
    <row r="430" spans="1:5">
      <c r="A430" s="12">
        <v>40999</v>
      </c>
      <c r="B430" s="13" t="s">
        <v>559</v>
      </c>
      <c r="C430" s="13" t="s">
        <v>560</v>
      </c>
      <c r="D430" t="s">
        <v>909</v>
      </c>
      <c r="E430">
        <v>700</v>
      </c>
    </row>
    <row r="431" spans="1:5">
      <c r="A431" s="12">
        <v>41021</v>
      </c>
      <c r="B431" s="13" t="s">
        <v>700</v>
      </c>
      <c r="C431" s="13" t="s">
        <v>701</v>
      </c>
      <c r="D431" t="s">
        <v>909</v>
      </c>
      <c r="E431">
        <v>700</v>
      </c>
    </row>
    <row r="432" spans="1:5">
      <c r="A432" s="12">
        <v>41029</v>
      </c>
      <c r="B432" s="13" t="s">
        <v>531</v>
      </c>
      <c r="C432" s="13" t="s">
        <v>532</v>
      </c>
      <c r="D432" t="s">
        <v>909</v>
      </c>
      <c r="E432">
        <v>700</v>
      </c>
    </row>
    <row r="433" spans="1:5">
      <c r="A433" s="12">
        <v>41039</v>
      </c>
      <c r="B433" s="13" t="s">
        <v>208</v>
      </c>
      <c r="C433" s="13" t="s">
        <v>209</v>
      </c>
      <c r="D433" t="s">
        <v>909</v>
      </c>
      <c r="E433">
        <v>800</v>
      </c>
    </row>
    <row r="434" spans="1:5">
      <c r="A434" s="12">
        <v>41055</v>
      </c>
      <c r="B434" s="13" t="s">
        <v>793</v>
      </c>
      <c r="C434" s="13" t="s">
        <v>794</v>
      </c>
      <c r="D434" t="s">
        <v>909</v>
      </c>
      <c r="E434">
        <v>600</v>
      </c>
    </row>
    <row r="435" spans="1:5">
      <c r="A435" s="12">
        <v>41057</v>
      </c>
      <c r="B435" s="13" t="s">
        <v>152</v>
      </c>
      <c r="C435" s="13" t="s">
        <v>153</v>
      </c>
      <c r="D435" t="s">
        <v>909</v>
      </c>
      <c r="E435">
        <v>800</v>
      </c>
    </row>
    <row r="436" spans="1:5">
      <c r="A436" s="12">
        <v>41072</v>
      </c>
      <c r="B436" s="13" t="s">
        <v>579</v>
      </c>
      <c r="C436" s="13" t="s">
        <v>580</v>
      </c>
      <c r="D436" t="s">
        <v>909</v>
      </c>
      <c r="E436">
        <v>700</v>
      </c>
    </row>
    <row r="437" spans="1:5">
      <c r="A437" s="12">
        <v>41073</v>
      </c>
      <c r="B437" s="13" t="s">
        <v>579</v>
      </c>
      <c r="C437" s="13" t="s">
        <v>580</v>
      </c>
      <c r="D437" t="s">
        <v>909</v>
      </c>
      <c r="E437">
        <v>700</v>
      </c>
    </row>
    <row r="438" spans="1:5">
      <c r="A438" s="12">
        <v>41098</v>
      </c>
      <c r="B438" s="13" t="s">
        <v>629</v>
      </c>
      <c r="C438" s="13" t="s">
        <v>630</v>
      </c>
      <c r="D438" t="s">
        <v>909</v>
      </c>
      <c r="E438">
        <v>700</v>
      </c>
    </row>
    <row r="439" spans="1:5">
      <c r="A439" s="12">
        <v>41110</v>
      </c>
      <c r="B439" s="13" t="s">
        <v>743</v>
      </c>
      <c r="C439" s="13" t="s">
        <v>744</v>
      </c>
      <c r="D439" t="s">
        <v>909</v>
      </c>
      <c r="E439">
        <v>600</v>
      </c>
    </row>
    <row r="440" spans="1:5">
      <c r="A440" s="12">
        <v>41153</v>
      </c>
      <c r="B440" s="13" t="s">
        <v>591</v>
      </c>
      <c r="C440" s="13" t="s">
        <v>592</v>
      </c>
      <c r="D440" t="s">
        <v>909</v>
      </c>
      <c r="E440">
        <v>700</v>
      </c>
    </row>
    <row r="441" spans="1:5">
      <c r="A441" s="12">
        <v>41158</v>
      </c>
      <c r="B441" s="13" t="s">
        <v>293</v>
      </c>
      <c r="C441" s="13" t="s">
        <v>294</v>
      </c>
      <c r="D441" t="s">
        <v>909</v>
      </c>
      <c r="E441">
        <v>700</v>
      </c>
    </row>
    <row r="442" spans="1:5">
      <c r="A442" s="12">
        <v>41183</v>
      </c>
      <c r="B442" s="13" t="s">
        <v>755</v>
      </c>
      <c r="C442" s="13" t="s">
        <v>756</v>
      </c>
      <c r="D442" t="s">
        <v>909</v>
      </c>
      <c r="E442">
        <v>600</v>
      </c>
    </row>
    <row r="443" spans="1:5">
      <c r="A443" s="12">
        <v>41202</v>
      </c>
      <c r="B443" s="13" t="s">
        <v>583</v>
      </c>
      <c r="C443" s="13" t="s">
        <v>584</v>
      </c>
      <c r="D443" t="s">
        <v>909</v>
      </c>
      <c r="E443">
        <v>700</v>
      </c>
    </row>
    <row r="444" spans="1:5">
      <c r="A444" s="12">
        <v>41207</v>
      </c>
      <c r="B444" s="13" t="s">
        <v>363</v>
      </c>
      <c r="C444" s="13" t="s">
        <v>364</v>
      </c>
      <c r="D444" t="s">
        <v>909</v>
      </c>
      <c r="E444">
        <v>700</v>
      </c>
    </row>
    <row r="445" spans="1:5">
      <c r="A445" s="12">
        <v>41209</v>
      </c>
      <c r="B445" s="13" t="s">
        <v>12</v>
      </c>
      <c r="C445" s="13" t="s">
        <v>922</v>
      </c>
      <c r="D445" t="s">
        <v>909</v>
      </c>
      <c r="E445">
        <v>1000</v>
      </c>
    </row>
    <row r="446" spans="1:5">
      <c r="A446" s="12">
        <v>41217</v>
      </c>
      <c r="B446" s="13" t="s">
        <v>429</v>
      </c>
      <c r="C446" s="13" t="s">
        <v>430</v>
      </c>
      <c r="D446" t="s">
        <v>909</v>
      </c>
      <c r="E446">
        <v>700</v>
      </c>
    </row>
    <row r="447" spans="1:5">
      <c r="A447" s="12">
        <v>41236</v>
      </c>
      <c r="B447" s="13" t="s">
        <v>431</v>
      </c>
      <c r="C447" s="13" t="s">
        <v>432</v>
      </c>
      <c r="D447" t="s">
        <v>909</v>
      </c>
      <c r="E447">
        <v>700</v>
      </c>
    </row>
    <row r="448" spans="1:5">
      <c r="A448" s="12">
        <v>41238</v>
      </c>
      <c r="B448" s="13" t="s">
        <v>82</v>
      </c>
      <c r="C448" s="13" t="s">
        <v>83</v>
      </c>
      <c r="D448" t="s">
        <v>909</v>
      </c>
      <c r="E448">
        <v>1000</v>
      </c>
    </row>
    <row r="449" spans="1:5">
      <c r="A449" s="12">
        <v>41241</v>
      </c>
      <c r="B449" s="13" t="s">
        <v>41</v>
      </c>
      <c r="C449" s="13" t="s">
        <v>42</v>
      </c>
      <c r="D449" t="s">
        <v>909</v>
      </c>
      <c r="E449">
        <v>1000</v>
      </c>
    </row>
    <row r="450" spans="1:5">
      <c r="A450" s="12">
        <v>41245</v>
      </c>
      <c r="B450" s="13" t="s">
        <v>383</v>
      </c>
      <c r="C450" s="13" t="s">
        <v>920</v>
      </c>
      <c r="D450" t="s">
        <v>909</v>
      </c>
      <c r="E450">
        <v>700</v>
      </c>
    </row>
    <row r="451" spans="1:5">
      <c r="A451" s="12">
        <v>41265</v>
      </c>
      <c r="B451" s="13" t="s">
        <v>811</v>
      </c>
      <c r="C451" s="13" t="s">
        <v>812</v>
      </c>
      <c r="D451" t="s">
        <v>909</v>
      </c>
      <c r="E451">
        <v>600</v>
      </c>
    </row>
    <row r="452" spans="1:5">
      <c r="A452" s="12">
        <v>41284</v>
      </c>
      <c r="B452" s="13" t="s">
        <v>313</v>
      </c>
      <c r="C452" s="13" t="s">
        <v>314</v>
      </c>
      <c r="D452" t="s">
        <v>909</v>
      </c>
      <c r="E452">
        <v>700</v>
      </c>
    </row>
    <row r="453" spans="1:5">
      <c r="A453" s="12">
        <v>41288</v>
      </c>
      <c r="B453" s="13" t="s">
        <v>200</v>
      </c>
      <c r="C453" s="13" t="s">
        <v>201</v>
      </c>
      <c r="D453" t="s">
        <v>909</v>
      </c>
      <c r="E453">
        <v>800</v>
      </c>
    </row>
    <row r="454" spans="1:5">
      <c r="A454" s="12">
        <v>4140</v>
      </c>
      <c r="B454" s="13" t="s">
        <v>751</v>
      </c>
      <c r="C454" s="13" t="s">
        <v>752</v>
      </c>
      <c r="D454" t="s">
        <v>909</v>
      </c>
      <c r="E454">
        <v>600</v>
      </c>
    </row>
    <row r="455" spans="1:5">
      <c r="A455" s="12">
        <v>4347</v>
      </c>
      <c r="B455" s="13" t="s">
        <v>194</v>
      </c>
      <c r="C455" s="13" t="s">
        <v>195</v>
      </c>
      <c r="D455" t="s">
        <v>909</v>
      </c>
      <c r="E455">
        <v>800</v>
      </c>
    </row>
    <row r="456" spans="1:5">
      <c r="A456" s="12">
        <v>4610</v>
      </c>
      <c r="B456" s="13" t="s">
        <v>144</v>
      </c>
      <c r="C456" s="13" t="s">
        <v>145</v>
      </c>
      <c r="D456" t="s">
        <v>909</v>
      </c>
      <c r="E456">
        <v>800</v>
      </c>
    </row>
    <row r="457" spans="1:5">
      <c r="A457" s="12">
        <v>4616</v>
      </c>
      <c r="B457" s="13" t="s">
        <v>443</v>
      </c>
      <c r="C457" s="13" t="s">
        <v>444</v>
      </c>
      <c r="D457" t="s">
        <v>909</v>
      </c>
      <c r="E457">
        <v>700</v>
      </c>
    </row>
    <row r="458" spans="1:5">
      <c r="A458" s="12">
        <v>4689</v>
      </c>
      <c r="B458" s="13" t="s">
        <v>501</v>
      </c>
      <c r="C458" s="13" t="s">
        <v>502</v>
      </c>
      <c r="D458" t="s">
        <v>909</v>
      </c>
      <c r="E458">
        <v>700</v>
      </c>
    </row>
    <row r="459" spans="1:5">
      <c r="A459" s="12">
        <v>4711</v>
      </c>
      <c r="B459" s="13" t="s">
        <v>117</v>
      </c>
      <c r="C459" s="13" t="s">
        <v>118</v>
      </c>
      <c r="D459" t="s">
        <v>909</v>
      </c>
      <c r="E459">
        <v>800</v>
      </c>
    </row>
    <row r="460" spans="1:5">
      <c r="A460" s="12">
        <v>4733</v>
      </c>
      <c r="B460" s="13" t="s">
        <v>593</v>
      </c>
      <c r="C460" s="13" t="s">
        <v>594</v>
      </c>
      <c r="D460" t="s">
        <v>909</v>
      </c>
      <c r="E460">
        <v>700</v>
      </c>
    </row>
    <row r="461" spans="1:5">
      <c r="A461" s="12">
        <v>4751</v>
      </c>
      <c r="B461" s="13" t="s">
        <v>489</v>
      </c>
      <c r="C461" s="13" t="s">
        <v>490</v>
      </c>
      <c r="D461" t="s">
        <v>909</v>
      </c>
      <c r="E461">
        <v>700</v>
      </c>
    </row>
    <row r="462" spans="1:5">
      <c r="A462" s="12">
        <v>4791</v>
      </c>
      <c r="B462" s="13" t="s">
        <v>299</v>
      </c>
      <c r="C462" s="13" t="s">
        <v>300</v>
      </c>
      <c r="D462" t="s">
        <v>909</v>
      </c>
      <c r="E462">
        <v>700</v>
      </c>
    </row>
    <row r="463" spans="1:5">
      <c r="A463" s="12">
        <v>4824</v>
      </c>
      <c r="B463" s="13" t="s">
        <v>277</v>
      </c>
      <c r="C463" s="13" t="s">
        <v>278</v>
      </c>
      <c r="D463" t="s">
        <v>909</v>
      </c>
      <c r="E463">
        <v>700</v>
      </c>
    </row>
    <row r="464" spans="1:5">
      <c r="A464" s="12">
        <v>4883</v>
      </c>
      <c r="B464" s="13" t="s">
        <v>31</v>
      </c>
      <c r="C464" s="13" t="s">
        <v>32</v>
      </c>
      <c r="D464" t="s">
        <v>909</v>
      </c>
      <c r="E464">
        <v>1000</v>
      </c>
    </row>
    <row r="465" spans="1:5">
      <c r="A465" s="12">
        <v>5023</v>
      </c>
      <c r="B465" s="13" t="s">
        <v>529</v>
      </c>
      <c r="C465" s="13" t="s">
        <v>530</v>
      </c>
      <c r="D465" t="s">
        <v>909</v>
      </c>
      <c r="E465">
        <v>700</v>
      </c>
    </row>
    <row r="466" spans="1:5">
      <c r="A466" s="12">
        <v>5041</v>
      </c>
      <c r="B466" s="13" t="s">
        <v>529</v>
      </c>
      <c r="C466" s="13" t="s">
        <v>530</v>
      </c>
      <c r="D466" t="s">
        <v>909</v>
      </c>
      <c r="E466">
        <v>700</v>
      </c>
    </row>
    <row r="467" spans="1:5">
      <c r="A467" s="12">
        <v>5107</v>
      </c>
      <c r="B467" s="13" t="s">
        <v>505</v>
      </c>
      <c r="C467" s="13" t="s">
        <v>506</v>
      </c>
      <c r="D467" t="s">
        <v>909</v>
      </c>
      <c r="E467">
        <v>700</v>
      </c>
    </row>
    <row r="468" spans="1:5">
      <c r="A468" s="12">
        <v>5185</v>
      </c>
      <c r="B468" s="13" t="s">
        <v>367</v>
      </c>
      <c r="C468" s="13" t="s">
        <v>368</v>
      </c>
      <c r="D468" t="s">
        <v>909</v>
      </c>
      <c r="E468">
        <v>700</v>
      </c>
    </row>
    <row r="469" spans="1:5">
      <c r="A469" s="12">
        <v>5569</v>
      </c>
      <c r="B469" s="13" t="s">
        <v>291</v>
      </c>
      <c r="C469" s="13" t="s">
        <v>292</v>
      </c>
      <c r="D469" t="s">
        <v>909</v>
      </c>
      <c r="E469">
        <v>700</v>
      </c>
    </row>
    <row r="470" spans="1:5">
      <c r="A470" s="12">
        <v>5599</v>
      </c>
      <c r="B470" s="13" t="s">
        <v>252</v>
      </c>
      <c r="C470" s="13" t="s">
        <v>253</v>
      </c>
      <c r="D470" t="s">
        <v>909</v>
      </c>
      <c r="E470">
        <v>800</v>
      </c>
    </row>
    <row r="471" spans="1:5">
      <c r="A471" s="12">
        <v>5795</v>
      </c>
      <c r="B471" s="13" t="s">
        <v>615</v>
      </c>
      <c r="C471" s="13" t="s">
        <v>616</v>
      </c>
      <c r="D471" t="s">
        <v>909</v>
      </c>
      <c r="E471">
        <v>700</v>
      </c>
    </row>
    <row r="472" spans="1:5">
      <c r="A472" s="12">
        <v>5812</v>
      </c>
      <c r="B472" s="13" t="s">
        <v>115</v>
      </c>
      <c r="C472" s="13" t="s">
        <v>116</v>
      </c>
      <c r="D472" t="s">
        <v>909</v>
      </c>
      <c r="E472">
        <v>800</v>
      </c>
    </row>
    <row r="473" spans="1:5">
      <c r="A473" s="12">
        <v>6047</v>
      </c>
      <c r="B473" s="13" t="s">
        <v>92</v>
      </c>
      <c r="C473" s="13" t="s">
        <v>93</v>
      </c>
      <c r="D473" t="s">
        <v>909</v>
      </c>
      <c r="E473">
        <v>1000</v>
      </c>
    </row>
    <row r="474" spans="1:5">
      <c r="A474" s="12">
        <v>6464</v>
      </c>
      <c r="B474" s="13" t="s">
        <v>735</v>
      </c>
      <c r="C474" s="13" t="s">
        <v>736</v>
      </c>
      <c r="D474" t="s">
        <v>909</v>
      </c>
      <c r="E474">
        <v>600</v>
      </c>
    </row>
    <row r="475" spans="1:5">
      <c r="A475" s="12">
        <v>6525</v>
      </c>
      <c r="B475" s="13" t="s">
        <v>23</v>
      </c>
      <c r="C475" s="13" t="s">
        <v>24</v>
      </c>
      <c r="D475" t="s">
        <v>909</v>
      </c>
      <c r="E475">
        <v>1000</v>
      </c>
    </row>
    <row r="476" spans="1:5">
      <c r="A476" s="12">
        <v>6542</v>
      </c>
      <c r="B476" s="13" t="s">
        <v>447</v>
      </c>
      <c r="C476" s="13" t="s">
        <v>448</v>
      </c>
      <c r="D476" t="s">
        <v>909</v>
      </c>
      <c r="E476">
        <v>700</v>
      </c>
    </row>
    <row r="477" spans="1:5">
      <c r="A477" s="12">
        <v>6725</v>
      </c>
      <c r="B477" s="13" t="s">
        <v>773</v>
      </c>
      <c r="C477" s="13" t="s">
        <v>774</v>
      </c>
      <c r="D477" t="s">
        <v>909</v>
      </c>
      <c r="E477">
        <v>600</v>
      </c>
    </row>
    <row r="478" spans="1:5">
      <c r="A478" s="12">
        <v>7011</v>
      </c>
      <c r="B478" s="13" t="s">
        <v>325</v>
      </c>
      <c r="C478" s="13" t="s">
        <v>326</v>
      </c>
      <c r="D478" t="s">
        <v>909</v>
      </c>
      <c r="E478">
        <v>700</v>
      </c>
    </row>
    <row r="479" spans="1:5">
      <c r="A479" s="12">
        <v>7079</v>
      </c>
      <c r="B479" s="13" t="s">
        <v>545</v>
      </c>
      <c r="C479" s="13" t="s">
        <v>546</v>
      </c>
      <c r="D479" t="s">
        <v>909</v>
      </c>
      <c r="E479">
        <v>700</v>
      </c>
    </row>
    <row r="480" spans="1:5">
      <c r="A480" s="12">
        <v>7182</v>
      </c>
      <c r="B480" s="13" t="s">
        <v>125</v>
      </c>
      <c r="C480" s="13" t="s">
        <v>126</v>
      </c>
      <c r="D480" t="s">
        <v>909</v>
      </c>
      <c r="E480">
        <v>800</v>
      </c>
    </row>
    <row r="481" spans="1:5">
      <c r="A481" s="12">
        <v>7184</v>
      </c>
      <c r="B481" s="13" t="s">
        <v>381</v>
      </c>
      <c r="C481" s="13" t="s">
        <v>382</v>
      </c>
      <c r="D481" t="s">
        <v>909</v>
      </c>
      <c r="E481">
        <v>700</v>
      </c>
    </row>
    <row r="482" spans="1:5">
      <c r="A482" s="12">
        <v>7196</v>
      </c>
      <c r="B482" s="13" t="s">
        <v>25</v>
      </c>
      <c r="C482" s="13" t="s">
        <v>26</v>
      </c>
      <c r="D482" t="s">
        <v>909</v>
      </c>
      <c r="E482">
        <v>1000</v>
      </c>
    </row>
    <row r="483" spans="1:5">
      <c r="A483" s="12">
        <v>7571</v>
      </c>
      <c r="B483" s="13" t="s">
        <v>849</v>
      </c>
      <c r="C483" s="13" t="s">
        <v>850</v>
      </c>
      <c r="D483" t="s">
        <v>909</v>
      </c>
      <c r="E483">
        <v>600</v>
      </c>
    </row>
    <row r="484" spans="1:5">
      <c r="A484" s="12">
        <v>7663</v>
      </c>
      <c r="B484" s="13" t="s">
        <v>759</v>
      </c>
      <c r="C484" s="13" t="s">
        <v>760</v>
      </c>
      <c r="D484" t="s">
        <v>909</v>
      </c>
      <c r="E484">
        <v>600</v>
      </c>
    </row>
    <row r="485" spans="1:5">
      <c r="A485" s="12">
        <v>7686</v>
      </c>
      <c r="B485" s="13" t="s">
        <v>258</v>
      </c>
      <c r="C485" s="13" t="s">
        <v>259</v>
      </c>
      <c r="D485" t="s">
        <v>909</v>
      </c>
      <c r="E485">
        <v>800</v>
      </c>
    </row>
    <row r="486" spans="1:5">
      <c r="A486" s="12">
        <v>7728</v>
      </c>
      <c r="B486" s="13" t="s">
        <v>127</v>
      </c>
      <c r="C486" s="13" t="s">
        <v>128</v>
      </c>
      <c r="D486" t="s">
        <v>909</v>
      </c>
      <c r="E486">
        <v>800</v>
      </c>
    </row>
    <row r="487" spans="1:5">
      <c r="A487" s="12">
        <v>7790</v>
      </c>
      <c r="B487" s="13" t="s">
        <v>309</v>
      </c>
      <c r="C487" s="13" t="s">
        <v>310</v>
      </c>
      <c r="D487" t="s">
        <v>909</v>
      </c>
      <c r="E487">
        <v>700</v>
      </c>
    </row>
    <row r="488" spans="1:5">
      <c r="A488" s="12">
        <v>7841</v>
      </c>
      <c r="B488" s="13" t="s">
        <v>244</v>
      </c>
      <c r="C488" s="13" t="s">
        <v>245</v>
      </c>
      <c r="D488" t="s">
        <v>909</v>
      </c>
      <c r="E488">
        <v>800</v>
      </c>
    </row>
    <row r="489" spans="1:5">
      <c r="A489" s="12">
        <v>7861</v>
      </c>
      <c r="B489" s="13" t="s">
        <v>535</v>
      </c>
      <c r="C489" s="13" t="s">
        <v>536</v>
      </c>
      <c r="D489" t="s">
        <v>909</v>
      </c>
      <c r="E489">
        <v>700</v>
      </c>
    </row>
    <row r="490" spans="1:5">
      <c r="A490" s="12">
        <v>7910</v>
      </c>
      <c r="B490" s="13" t="s">
        <v>21</v>
      </c>
      <c r="C490" s="13" t="s">
        <v>22</v>
      </c>
      <c r="D490" t="s">
        <v>909</v>
      </c>
      <c r="E490">
        <v>1000</v>
      </c>
    </row>
    <row r="491" spans="1:5">
      <c r="A491" s="12">
        <v>7924</v>
      </c>
      <c r="B491" s="13" t="s">
        <v>248</v>
      </c>
      <c r="C491" s="13" t="s">
        <v>249</v>
      </c>
      <c r="D491" t="s">
        <v>909</v>
      </c>
      <c r="E491">
        <v>800</v>
      </c>
    </row>
    <row r="492" spans="1:5">
      <c r="A492" s="12">
        <v>7941</v>
      </c>
      <c r="B492" s="13" t="s">
        <v>449</v>
      </c>
      <c r="C492" s="13" t="s">
        <v>450</v>
      </c>
      <c r="D492" t="s">
        <v>909</v>
      </c>
      <c r="E492">
        <v>700</v>
      </c>
    </row>
    <row r="493" spans="1:5">
      <c r="A493" s="12">
        <v>7954</v>
      </c>
      <c r="B493" s="13" t="s">
        <v>441</v>
      </c>
      <c r="C493" s="13" t="s">
        <v>442</v>
      </c>
      <c r="D493" t="s">
        <v>909</v>
      </c>
      <c r="E493">
        <v>700</v>
      </c>
    </row>
    <row r="494" spans="1:5">
      <c r="A494" s="12">
        <v>7958</v>
      </c>
      <c r="B494" s="13" t="s">
        <v>12</v>
      </c>
      <c r="C494" s="13" t="s">
        <v>922</v>
      </c>
      <c r="D494" t="s">
        <v>909</v>
      </c>
      <c r="E494">
        <v>1000</v>
      </c>
    </row>
    <row r="495" spans="1:5">
      <c r="A495" s="12">
        <v>8060</v>
      </c>
      <c r="B495" s="13" t="s">
        <v>351</v>
      </c>
      <c r="C495" s="13" t="s">
        <v>352</v>
      </c>
      <c r="D495" t="s">
        <v>909</v>
      </c>
      <c r="E495">
        <v>700</v>
      </c>
    </row>
    <row r="496" spans="1:5">
      <c r="A496" s="12">
        <v>8073</v>
      </c>
      <c r="B496" s="13" t="s">
        <v>731</v>
      </c>
      <c r="C496" s="13" t="s">
        <v>732</v>
      </c>
      <c r="D496" t="s">
        <v>909</v>
      </c>
      <c r="E496">
        <v>600</v>
      </c>
    </row>
    <row r="497" spans="1:5">
      <c r="A497" s="12">
        <v>8739</v>
      </c>
      <c r="B497" s="13" t="s">
        <v>301</v>
      </c>
      <c r="C497" s="13" t="s">
        <v>302</v>
      </c>
      <c r="D497" t="s">
        <v>909</v>
      </c>
      <c r="E497">
        <v>700</v>
      </c>
    </row>
    <row r="498" spans="1:5">
      <c r="A498" s="12">
        <v>8813</v>
      </c>
      <c r="B498" s="13" t="s">
        <v>797</v>
      </c>
      <c r="C498" s="13" t="s">
        <v>798</v>
      </c>
      <c r="D498" t="s">
        <v>909</v>
      </c>
      <c r="E498">
        <v>600</v>
      </c>
    </row>
    <row r="499" spans="1:5">
      <c r="A499" s="12">
        <v>8818</v>
      </c>
      <c r="B499" s="13" t="s">
        <v>815</v>
      </c>
      <c r="C499" s="13" t="s">
        <v>816</v>
      </c>
      <c r="D499" t="s">
        <v>909</v>
      </c>
      <c r="E499">
        <v>600</v>
      </c>
    </row>
    <row r="500" spans="1:5">
      <c r="A500" s="12">
        <v>8892</v>
      </c>
      <c r="B500" s="13" t="s">
        <v>31</v>
      </c>
      <c r="C500" s="13" t="s">
        <v>32</v>
      </c>
      <c r="D500" t="s">
        <v>909</v>
      </c>
      <c r="E500">
        <v>1000</v>
      </c>
    </row>
    <row r="501" spans="1:5">
      <c r="A501" s="12">
        <v>90022</v>
      </c>
      <c r="B501" s="13" t="s">
        <v>12</v>
      </c>
      <c r="C501" s="13" t="s">
        <v>922</v>
      </c>
      <c r="D501" t="s">
        <v>909</v>
      </c>
      <c r="E501">
        <v>1000</v>
      </c>
    </row>
    <row r="502" spans="1:5">
      <c r="A502" s="12">
        <v>90273</v>
      </c>
      <c r="B502" s="13" t="s">
        <v>12</v>
      </c>
      <c r="C502" s="13" t="s">
        <v>922</v>
      </c>
      <c r="D502" t="s">
        <v>909</v>
      </c>
      <c r="E502">
        <v>1000</v>
      </c>
    </row>
    <row r="503" spans="1:5">
      <c r="A503" s="12">
        <v>93943</v>
      </c>
      <c r="B503" s="13" t="s">
        <v>12</v>
      </c>
      <c r="C503" s="13" t="s">
        <v>922</v>
      </c>
      <c r="D503" t="s">
        <v>909</v>
      </c>
      <c r="E503">
        <v>1000</v>
      </c>
    </row>
    <row r="504" spans="1:5">
      <c r="A504" s="12">
        <v>9437</v>
      </c>
      <c r="B504" s="13" t="s">
        <v>415</v>
      </c>
      <c r="C504" s="13" t="s">
        <v>416</v>
      </c>
      <c r="D504" t="s">
        <v>909</v>
      </c>
      <c r="E504">
        <v>700</v>
      </c>
    </row>
    <row r="505" spans="1:5">
      <c r="A505" s="12">
        <v>9470</v>
      </c>
      <c r="B505" s="13" t="s">
        <v>74</v>
      </c>
      <c r="C505" s="13" t="s">
        <v>921</v>
      </c>
      <c r="D505" t="s">
        <v>909</v>
      </c>
      <c r="E505">
        <v>1000</v>
      </c>
    </row>
    <row r="506" spans="1:5">
      <c r="A506" s="12">
        <v>9471</v>
      </c>
      <c r="B506" s="13" t="s">
        <v>727</v>
      </c>
      <c r="C506" s="13" t="s">
        <v>728</v>
      </c>
      <c r="D506" t="s">
        <v>909</v>
      </c>
      <c r="E506">
        <v>600</v>
      </c>
    </row>
    <row r="507" spans="1:5">
      <c r="A507" s="12">
        <v>97365</v>
      </c>
      <c r="B507" s="13" t="s">
        <v>12</v>
      </c>
      <c r="C507" s="13" t="s">
        <v>922</v>
      </c>
      <c r="D507" t="s">
        <v>909</v>
      </c>
      <c r="E507">
        <v>1000</v>
      </c>
    </row>
    <row r="508" spans="1:5">
      <c r="A508" s="12">
        <v>9747</v>
      </c>
      <c r="B508" s="13" t="s">
        <v>39</v>
      </c>
      <c r="C508" s="13" t="s">
        <v>40</v>
      </c>
      <c r="D508" t="s">
        <v>909</v>
      </c>
      <c r="E508">
        <v>1000</v>
      </c>
    </row>
    <row r="509" spans="1:5">
      <c r="A509" s="12">
        <v>9750</v>
      </c>
      <c r="B509" s="13" t="s">
        <v>493</v>
      </c>
      <c r="C509" s="13" t="s">
        <v>494</v>
      </c>
      <c r="D509" t="s">
        <v>909</v>
      </c>
      <c r="E509">
        <v>700</v>
      </c>
    </row>
    <row r="510" spans="1:5">
      <c r="A510" s="12">
        <v>98251</v>
      </c>
      <c r="B510" s="13" t="s">
        <v>12</v>
      </c>
      <c r="C510" s="13" t="s">
        <v>922</v>
      </c>
      <c r="D510" t="s">
        <v>909</v>
      </c>
      <c r="E510">
        <v>1000</v>
      </c>
    </row>
    <row r="511" spans="1:5">
      <c r="A511" s="12">
        <v>98271</v>
      </c>
      <c r="B511" s="13" t="s">
        <v>700</v>
      </c>
      <c r="C511" s="13" t="s">
        <v>701</v>
      </c>
      <c r="D511" t="s">
        <v>909</v>
      </c>
      <c r="E511">
        <v>700</v>
      </c>
    </row>
    <row r="512" spans="1:5">
      <c r="A512" s="12">
        <v>98296</v>
      </c>
      <c r="B512" s="13" t="s">
        <v>12</v>
      </c>
      <c r="C512" s="13" t="s">
        <v>922</v>
      </c>
      <c r="D512" t="s">
        <v>909</v>
      </c>
      <c r="E512">
        <v>1000</v>
      </c>
    </row>
    <row r="513" spans="1:5">
      <c r="A513" s="12">
        <v>98419</v>
      </c>
      <c r="B513" s="13" t="s">
        <v>12</v>
      </c>
      <c r="C513" s="13" t="s">
        <v>922</v>
      </c>
      <c r="D513" t="s">
        <v>909</v>
      </c>
      <c r="E513">
        <v>1000</v>
      </c>
    </row>
    <row r="514" spans="1:5">
      <c r="A514" s="12">
        <v>98502</v>
      </c>
      <c r="B514" s="13" t="s">
        <v>200</v>
      </c>
      <c r="C514" s="13" t="s">
        <v>201</v>
      </c>
      <c r="D514" t="s">
        <v>909</v>
      </c>
      <c r="E514">
        <v>800</v>
      </c>
    </row>
    <row r="515" spans="1:5">
      <c r="A515" s="12">
        <v>98531</v>
      </c>
      <c r="B515" s="13" t="s">
        <v>12</v>
      </c>
      <c r="C515" s="13" t="s">
        <v>922</v>
      </c>
      <c r="D515" t="s">
        <v>909</v>
      </c>
      <c r="E515">
        <v>1000</v>
      </c>
    </row>
    <row r="516" spans="1:5">
      <c r="A516" s="12">
        <v>98532</v>
      </c>
      <c r="B516" s="13" t="s">
        <v>12</v>
      </c>
      <c r="C516" s="13" t="s">
        <v>922</v>
      </c>
      <c r="D516" t="s">
        <v>909</v>
      </c>
      <c r="E516">
        <v>1000</v>
      </c>
    </row>
    <row r="517" spans="1:5">
      <c r="A517" s="12">
        <v>98543</v>
      </c>
      <c r="B517" s="13" t="s">
        <v>12</v>
      </c>
      <c r="C517" s="13" t="s">
        <v>922</v>
      </c>
      <c r="D517" t="s">
        <v>909</v>
      </c>
      <c r="E517">
        <v>1000</v>
      </c>
    </row>
    <row r="518" spans="1:5">
      <c r="A518" s="12">
        <v>98666</v>
      </c>
      <c r="B518" s="13" t="s">
        <v>31</v>
      </c>
      <c r="C518" s="13" t="s">
        <v>32</v>
      </c>
      <c r="D518" t="s">
        <v>909</v>
      </c>
      <c r="E518">
        <v>1000</v>
      </c>
    </row>
    <row r="519" spans="1:5">
      <c r="A519" s="12">
        <v>98669</v>
      </c>
      <c r="B519" s="13" t="s">
        <v>273</v>
      </c>
      <c r="C519" s="13" t="s">
        <v>274</v>
      </c>
      <c r="D519" t="s">
        <v>909</v>
      </c>
      <c r="E519">
        <v>700</v>
      </c>
    </row>
    <row r="520" spans="1:5">
      <c r="A520" s="12">
        <v>98678</v>
      </c>
      <c r="B520" s="13" t="s">
        <v>785</v>
      </c>
      <c r="C520" s="13" t="s">
        <v>786</v>
      </c>
      <c r="D520" t="s">
        <v>909</v>
      </c>
      <c r="E520">
        <v>600</v>
      </c>
    </row>
    <row r="521" spans="1:5">
      <c r="A521" s="12">
        <v>98680</v>
      </c>
      <c r="B521" s="13" t="s">
        <v>119</v>
      </c>
      <c r="C521" s="13" t="s">
        <v>120</v>
      </c>
      <c r="D521" t="s">
        <v>909</v>
      </c>
      <c r="E521">
        <v>800</v>
      </c>
    </row>
    <row r="522" spans="1:5">
      <c r="A522" s="12">
        <v>98705</v>
      </c>
      <c r="B522" s="13" t="s">
        <v>174</v>
      </c>
      <c r="C522" s="13" t="s">
        <v>175</v>
      </c>
      <c r="D522" t="s">
        <v>909</v>
      </c>
      <c r="E522">
        <v>800</v>
      </c>
    </row>
    <row r="523" spans="1:5">
      <c r="A523" s="12">
        <v>98708</v>
      </c>
      <c r="B523" s="13" t="s">
        <v>341</v>
      </c>
      <c r="C523" s="13" t="s">
        <v>342</v>
      </c>
      <c r="D523" t="s">
        <v>909</v>
      </c>
      <c r="E523">
        <v>700</v>
      </c>
    </row>
    <row r="524" spans="1:5">
      <c r="A524" s="12">
        <v>98709</v>
      </c>
      <c r="B524" s="13" t="s">
        <v>545</v>
      </c>
      <c r="C524" s="13" t="s">
        <v>546</v>
      </c>
      <c r="D524" t="s">
        <v>909</v>
      </c>
      <c r="E524">
        <v>700</v>
      </c>
    </row>
    <row r="525" spans="1:5">
      <c r="A525" s="12">
        <v>9872</v>
      </c>
      <c r="B525" s="13" t="s">
        <v>283</v>
      </c>
      <c r="C525" s="13" t="s">
        <v>284</v>
      </c>
      <c r="D525" t="s">
        <v>909</v>
      </c>
      <c r="E525">
        <v>700</v>
      </c>
    </row>
    <row r="526" spans="1:5">
      <c r="A526" s="12">
        <v>98721</v>
      </c>
      <c r="B526" s="13" t="s">
        <v>543</v>
      </c>
      <c r="C526" s="13" t="s">
        <v>544</v>
      </c>
      <c r="D526" t="s">
        <v>909</v>
      </c>
      <c r="E526">
        <v>700</v>
      </c>
    </row>
    <row r="527" spans="1:5">
      <c r="A527" s="12">
        <v>98760</v>
      </c>
      <c r="B527" s="13" t="s">
        <v>57</v>
      </c>
      <c r="C527" s="13" t="s">
        <v>58</v>
      </c>
      <c r="D527" t="s">
        <v>909</v>
      </c>
      <c r="E527">
        <v>1000</v>
      </c>
    </row>
    <row r="528" spans="1:5">
      <c r="A528" s="12">
        <v>98762</v>
      </c>
      <c r="B528" s="13" t="s">
        <v>833</v>
      </c>
      <c r="C528" s="13" t="s">
        <v>834</v>
      </c>
      <c r="D528" t="s">
        <v>909</v>
      </c>
      <c r="E528">
        <v>600</v>
      </c>
    </row>
    <row r="529" spans="1:5">
      <c r="A529" s="12">
        <v>98770</v>
      </c>
      <c r="B529" s="13" t="s">
        <v>12</v>
      </c>
      <c r="C529" s="13" t="s">
        <v>922</v>
      </c>
      <c r="D529" t="s">
        <v>909</v>
      </c>
      <c r="E529">
        <v>1000</v>
      </c>
    </row>
    <row r="530" spans="1:5">
      <c r="A530" s="12">
        <v>98780</v>
      </c>
      <c r="B530" s="13" t="s">
        <v>475</v>
      </c>
      <c r="C530" s="13" t="s">
        <v>476</v>
      </c>
      <c r="D530" t="s">
        <v>909</v>
      </c>
      <c r="E530">
        <v>700</v>
      </c>
    </row>
    <row r="531" spans="1:5">
      <c r="A531" s="12">
        <v>98795</v>
      </c>
      <c r="B531" s="13" t="s">
        <v>92</v>
      </c>
      <c r="C531" s="13" t="s">
        <v>93</v>
      </c>
      <c r="D531" t="s">
        <v>909</v>
      </c>
      <c r="E531">
        <v>1000</v>
      </c>
    </row>
    <row r="532" spans="1:5">
      <c r="A532" s="12">
        <v>98797</v>
      </c>
      <c r="B532" s="13" t="s">
        <v>25</v>
      </c>
      <c r="C532" s="13" t="s">
        <v>26</v>
      </c>
      <c r="D532" t="s">
        <v>909</v>
      </c>
      <c r="E532">
        <v>1000</v>
      </c>
    </row>
    <row r="533" spans="1:5">
      <c r="A533" s="12">
        <v>98798</v>
      </c>
      <c r="B533" s="13" t="s">
        <v>275</v>
      </c>
      <c r="C533" s="13" t="s">
        <v>276</v>
      </c>
      <c r="D533" t="s">
        <v>909</v>
      </c>
      <c r="E533">
        <v>700</v>
      </c>
    </row>
    <row r="534" spans="1:5">
      <c r="A534" s="12">
        <v>98813</v>
      </c>
      <c r="B534" s="13" t="s">
        <v>625</v>
      </c>
      <c r="C534" s="13" t="s">
        <v>626</v>
      </c>
      <c r="D534" t="s">
        <v>909</v>
      </c>
      <c r="E534">
        <v>700</v>
      </c>
    </row>
    <row r="535" spans="1:5">
      <c r="A535" s="12">
        <v>98856</v>
      </c>
      <c r="B535" s="13" t="s">
        <v>827</v>
      </c>
      <c r="C535" s="13" t="s">
        <v>828</v>
      </c>
      <c r="D535" t="s">
        <v>909</v>
      </c>
      <c r="E535">
        <v>600</v>
      </c>
    </row>
    <row r="536" spans="1:5">
      <c r="A536" s="12">
        <v>98859</v>
      </c>
      <c r="B536" s="13" t="s">
        <v>459</v>
      </c>
      <c r="C536" s="13" t="s">
        <v>460</v>
      </c>
      <c r="D536" t="s">
        <v>909</v>
      </c>
      <c r="E536">
        <v>700</v>
      </c>
    </row>
    <row r="537" spans="1:5">
      <c r="A537" s="12">
        <v>98864</v>
      </c>
      <c r="B537" s="13" t="s">
        <v>224</v>
      </c>
      <c r="C537" s="13" t="s">
        <v>225</v>
      </c>
      <c r="D537" t="s">
        <v>909</v>
      </c>
      <c r="E537">
        <v>800</v>
      </c>
    </row>
    <row r="538" spans="1:5">
      <c r="A538" s="12">
        <v>98866</v>
      </c>
      <c r="B538" s="13" t="s">
        <v>487</v>
      </c>
      <c r="C538" s="13" t="s">
        <v>488</v>
      </c>
      <c r="D538" t="s">
        <v>909</v>
      </c>
      <c r="E538">
        <v>700</v>
      </c>
    </row>
    <row r="539" spans="1:5">
      <c r="A539" s="12">
        <v>98870</v>
      </c>
      <c r="B539" s="13" t="s">
        <v>861</v>
      </c>
      <c r="C539" s="13" t="s">
        <v>862</v>
      </c>
      <c r="D539" t="s">
        <v>909</v>
      </c>
      <c r="E539">
        <v>600</v>
      </c>
    </row>
    <row r="540" spans="1:5">
      <c r="A540" s="12">
        <v>98873</v>
      </c>
      <c r="B540" s="13" t="s">
        <v>164</v>
      </c>
      <c r="C540" s="13" t="s">
        <v>165</v>
      </c>
      <c r="D540" t="s">
        <v>909</v>
      </c>
      <c r="E540">
        <v>800</v>
      </c>
    </row>
    <row r="541" spans="1:5">
      <c r="A541" s="12">
        <v>98886</v>
      </c>
      <c r="B541" s="13" t="s">
        <v>577</v>
      </c>
      <c r="C541" s="13" t="s">
        <v>923</v>
      </c>
      <c r="D541" t="s">
        <v>909</v>
      </c>
      <c r="E541">
        <v>700</v>
      </c>
    </row>
    <row r="542" spans="1:5">
      <c r="A542" s="12">
        <v>98891</v>
      </c>
      <c r="B542" s="13" t="s">
        <v>136</v>
      </c>
      <c r="C542" s="13" t="s">
        <v>137</v>
      </c>
      <c r="D542" t="s">
        <v>909</v>
      </c>
      <c r="E542">
        <v>800</v>
      </c>
    </row>
    <row r="543" spans="1:5">
      <c r="A543" s="12">
        <v>98895</v>
      </c>
      <c r="B543" s="13" t="s">
        <v>212</v>
      </c>
      <c r="C543" s="13" t="s">
        <v>213</v>
      </c>
      <c r="D543" t="s">
        <v>909</v>
      </c>
      <c r="E543">
        <v>800</v>
      </c>
    </row>
    <row r="544" spans="1:5">
      <c r="A544" s="12">
        <v>98902</v>
      </c>
      <c r="B544" s="13" t="s">
        <v>59</v>
      </c>
      <c r="C544" s="13" t="s">
        <v>60</v>
      </c>
      <c r="D544" t="s">
        <v>909</v>
      </c>
      <c r="E544">
        <v>1000</v>
      </c>
    </row>
    <row r="545" spans="1:5">
      <c r="A545" s="12">
        <v>98907</v>
      </c>
      <c r="B545" s="13" t="s">
        <v>98</v>
      </c>
      <c r="C545" s="13" t="s">
        <v>99</v>
      </c>
      <c r="D545" t="s">
        <v>909</v>
      </c>
      <c r="E545">
        <v>1000</v>
      </c>
    </row>
    <row r="546" spans="1:5">
      <c r="A546" s="12">
        <v>98908</v>
      </c>
      <c r="B546" s="13" t="s">
        <v>455</v>
      </c>
      <c r="C546" s="13" t="s">
        <v>456</v>
      </c>
      <c r="D546" t="s">
        <v>909</v>
      </c>
      <c r="E546">
        <v>700</v>
      </c>
    </row>
    <row r="547" spans="1:5">
      <c r="A547" s="12">
        <v>98917</v>
      </c>
      <c r="B547" s="13" t="s">
        <v>877</v>
      </c>
      <c r="C547" s="13" t="s">
        <v>878</v>
      </c>
      <c r="D547" t="s">
        <v>909</v>
      </c>
      <c r="E547">
        <v>600</v>
      </c>
    </row>
    <row r="548" spans="1:5">
      <c r="A548" s="12">
        <v>98920</v>
      </c>
      <c r="B548" s="13" t="s">
        <v>674</v>
      </c>
      <c r="C548" s="13" t="s">
        <v>675</v>
      </c>
      <c r="D548" t="s">
        <v>909</v>
      </c>
      <c r="E548">
        <v>700</v>
      </c>
    </row>
    <row r="549" spans="1:5">
      <c r="A549" s="12">
        <v>98922</v>
      </c>
      <c r="B549" s="13" t="s">
        <v>659</v>
      </c>
      <c r="C549" s="13" t="s">
        <v>660</v>
      </c>
      <c r="D549" t="s">
        <v>909</v>
      </c>
      <c r="E549">
        <v>700</v>
      </c>
    </row>
    <row r="550" spans="1:5">
      <c r="A550" s="12">
        <v>98940</v>
      </c>
      <c r="B550" s="13" t="s">
        <v>94</v>
      </c>
      <c r="C550" s="13" t="s">
        <v>95</v>
      </c>
      <c r="D550" t="s">
        <v>909</v>
      </c>
      <c r="E550">
        <v>1000</v>
      </c>
    </row>
    <row r="551" spans="1:5">
      <c r="A551" s="12">
        <v>98951</v>
      </c>
      <c r="B551" s="13" t="s">
        <v>771</v>
      </c>
      <c r="C551" s="13" t="s">
        <v>772</v>
      </c>
      <c r="D551" t="s">
        <v>909</v>
      </c>
      <c r="E551">
        <v>600</v>
      </c>
    </row>
    <row r="552" spans="1:5">
      <c r="A552" s="12">
        <v>98974</v>
      </c>
      <c r="B552" s="13" t="s">
        <v>487</v>
      </c>
      <c r="C552" s="13" t="s">
        <v>488</v>
      </c>
      <c r="D552" t="s">
        <v>909</v>
      </c>
      <c r="E552">
        <v>700</v>
      </c>
    </row>
    <row r="553" spans="1:5">
      <c r="A553" s="12">
        <v>98982</v>
      </c>
      <c r="B553" s="13" t="s">
        <v>700</v>
      </c>
      <c r="C553" s="13" t="s">
        <v>701</v>
      </c>
      <c r="D553" t="s">
        <v>909</v>
      </c>
      <c r="E553">
        <v>700</v>
      </c>
    </row>
    <row r="554" spans="1:5">
      <c r="A554" s="12">
        <v>98989</v>
      </c>
      <c r="B554" s="13" t="s">
        <v>559</v>
      </c>
      <c r="C554" s="13" t="s">
        <v>560</v>
      </c>
      <c r="D554" t="s">
        <v>909</v>
      </c>
      <c r="E554">
        <v>700</v>
      </c>
    </row>
    <row r="555" spans="1:5">
      <c r="A555" s="12">
        <v>98990</v>
      </c>
      <c r="B555" s="13" t="s">
        <v>16</v>
      </c>
      <c r="C555" s="13" t="s">
        <v>17</v>
      </c>
      <c r="D555" t="s">
        <v>909</v>
      </c>
      <c r="E555">
        <v>1000</v>
      </c>
    </row>
    <row r="556" spans="1:5">
      <c r="A556" s="12">
        <v>98997</v>
      </c>
      <c r="B556" s="13" t="s">
        <v>455</v>
      </c>
      <c r="C556" s="13" t="s">
        <v>456</v>
      </c>
      <c r="D556" t="s">
        <v>909</v>
      </c>
      <c r="E556">
        <v>700</v>
      </c>
    </row>
    <row r="557" spans="1:5">
      <c r="A557" s="12">
        <v>99010</v>
      </c>
      <c r="B557" s="13" t="s">
        <v>82</v>
      </c>
      <c r="C557" s="13" t="s">
        <v>83</v>
      </c>
      <c r="D557" t="s">
        <v>909</v>
      </c>
      <c r="E557">
        <v>1000</v>
      </c>
    </row>
    <row r="558" spans="1:5">
      <c r="A558" s="12">
        <v>99011</v>
      </c>
      <c r="B558" s="13" t="s">
        <v>893</v>
      </c>
      <c r="C558" s="13" t="s">
        <v>894</v>
      </c>
      <c r="D558" t="s">
        <v>909</v>
      </c>
      <c r="E558">
        <v>600</v>
      </c>
    </row>
    <row r="559" spans="1:5">
      <c r="A559" s="12">
        <v>99012</v>
      </c>
      <c r="B559" s="13" t="s">
        <v>409</v>
      </c>
      <c r="C559" s="13" t="s">
        <v>410</v>
      </c>
      <c r="D559" t="s">
        <v>909</v>
      </c>
      <c r="E559">
        <v>700</v>
      </c>
    </row>
    <row r="560" spans="1:5">
      <c r="A560" s="12">
        <v>99018</v>
      </c>
      <c r="B560" s="13" t="s">
        <v>363</v>
      </c>
      <c r="C560" s="13" t="s">
        <v>364</v>
      </c>
      <c r="D560" t="s">
        <v>909</v>
      </c>
      <c r="E560">
        <v>700</v>
      </c>
    </row>
    <row r="561" spans="1:5">
      <c r="A561" s="12">
        <v>99031</v>
      </c>
      <c r="B561" s="13" t="s">
        <v>250</v>
      </c>
      <c r="C561" s="13" t="s">
        <v>251</v>
      </c>
      <c r="D561" t="s">
        <v>909</v>
      </c>
      <c r="E561">
        <v>800</v>
      </c>
    </row>
    <row r="562" spans="1:5">
      <c r="A562" s="12">
        <v>99035</v>
      </c>
      <c r="B562" s="13" t="s">
        <v>619</v>
      </c>
      <c r="C562" s="13" t="s">
        <v>620</v>
      </c>
      <c r="D562" t="s">
        <v>909</v>
      </c>
      <c r="E562">
        <v>700</v>
      </c>
    </row>
    <row r="563" spans="1:5">
      <c r="A563" s="12">
        <v>99039</v>
      </c>
      <c r="B563" s="13" t="s">
        <v>281</v>
      </c>
      <c r="C563" s="13" t="s">
        <v>282</v>
      </c>
      <c r="D563" t="s">
        <v>909</v>
      </c>
      <c r="E563">
        <v>700</v>
      </c>
    </row>
    <row r="564" spans="1:5">
      <c r="A564" s="12">
        <v>99041</v>
      </c>
      <c r="B564" s="13" t="s">
        <v>597</v>
      </c>
      <c r="C564" s="13" t="s">
        <v>598</v>
      </c>
      <c r="D564" t="s">
        <v>909</v>
      </c>
      <c r="E564">
        <v>700</v>
      </c>
    </row>
    <row r="565" spans="1:5">
      <c r="A565" s="12">
        <v>99075</v>
      </c>
      <c r="B565" s="13" t="s">
        <v>601</v>
      </c>
      <c r="C565" s="13" t="s">
        <v>602</v>
      </c>
      <c r="D565" t="s">
        <v>909</v>
      </c>
      <c r="E565">
        <v>700</v>
      </c>
    </row>
    <row r="566" spans="1:5">
      <c r="A566" s="12">
        <v>99085</v>
      </c>
      <c r="B566" s="13" t="s">
        <v>152</v>
      </c>
      <c r="C566" s="13" t="s">
        <v>153</v>
      </c>
      <c r="D566" t="s">
        <v>909</v>
      </c>
      <c r="E566">
        <v>800</v>
      </c>
    </row>
    <row r="567" spans="1:5">
      <c r="A567" s="12">
        <v>99090</v>
      </c>
      <c r="B567" s="13" t="s">
        <v>100</v>
      </c>
      <c r="C567" s="13" t="s">
        <v>101</v>
      </c>
      <c r="D567" t="s">
        <v>909</v>
      </c>
      <c r="E567">
        <v>1000</v>
      </c>
    </row>
    <row r="568" spans="1:5">
      <c r="A568" s="12">
        <v>99091</v>
      </c>
      <c r="B568" s="13" t="s">
        <v>72</v>
      </c>
      <c r="C568" s="13" t="s">
        <v>73</v>
      </c>
      <c r="D568" t="s">
        <v>909</v>
      </c>
      <c r="E568">
        <v>1000</v>
      </c>
    </row>
    <row r="569" spans="1:5">
      <c r="A569" s="12">
        <v>99093</v>
      </c>
      <c r="B569" s="13" t="s">
        <v>31</v>
      </c>
      <c r="C569" s="13" t="s">
        <v>32</v>
      </c>
      <c r="D569" t="s">
        <v>909</v>
      </c>
      <c r="E569">
        <v>1000</v>
      </c>
    </row>
    <row r="570" spans="1:5">
      <c r="A570" s="12">
        <v>99109</v>
      </c>
      <c r="B570" s="13" t="s">
        <v>405</v>
      </c>
      <c r="C570" s="13" t="s">
        <v>406</v>
      </c>
      <c r="D570" t="s">
        <v>909</v>
      </c>
      <c r="E570">
        <v>700</v>
      </c>
    </row>
    <row r="571" spans="1:5">
      <c r="A571" s="12">
        <v>99132</v>
      </c>
      <c r="B571" s="13" t="s">
        <v>593</v>
      </c>
      <c r="C571" s="13" t="s">
        <v>594</v>
      </c>
      <c r="D571" t="s">
        <v>909</v>
      </c>
      <c r="E571">
        <v>700</v>
      </c>
    </row>
    <row r="572" spans="1:5">
      <c r="A572" s="12">
        <v>99133</v>
      </c>
      <c r="B572" s="13" t="s">
        <v>417</v>
      </c>
      <c r="C572" s="13" t="s">
        <v>418</v>
      </c>
      <c r="D572" t="s">
        <v>909</v>
      </c>
      <c r="E572">
        <v>700</v>
      </c>
    </row>
    <row r="573" spans="1:5">
      <c r="A573" s="12">
        <v>99137</v>
      </c>
      <c r="B573" s="13" t="s">
        <v>100</v>
      </c>
      <c r="C573" s="13" t="s">
        <v>101</v>
      </c>
      <c r="D573" t="s">
        <v>909</v>
      </c>
      <c r="E573">
        <v>1000</v>
      </c>
    </row>
    <row r="574" spans="1:5">
      <c r="A574" s="12">
        <v>99145</v>
      </c>
      <c r="B574" s="13" t="s">
        <v>218</v>
      </c>
      <c r="C574" s="13" t="s">
        <v>219</v>
      </c>
      <c r="D574" t="s">
        <v>909</v>
      </c>
      <c r="E574">
        <v>800</v>
      </c>
    </row>
    <row r="575" spans="1:5">
      <c r="A575" s="12">
        <v>99147</v>
      </c>
      <c r="B575" s="13" t="s">
        <v>643</v>
      </c>
      <c r="C575" s="13" t="s">
        <v>644</v>
      </c>
      <c r="D575" t="s">
        <v>909</v>
      </c>
      <c r="E575">
        <v>700</v>
      </c>
    </row>
    <row r="576" spans="1:5">
      <c r="A576" s="12">
        <v>99152</v>
      </c>
      <c r="B576" s="13" t="s">
        <v>519</v>
      </c>
      <c r="C576" s="13" t="s">
        <v>520</v>
      </c>
      <c r="D576" t="s">
        <v>909</v>
      </c>
      <c r="E576">
        <v>700</v>
      </c>
    </row>
    <row r="577" spans="1:5">
      <c r="A577" s="12">
        <v>99153</v>
      </c>
      <c r="B577" s="13" t="s">
        <v>609</v>
      </c>
      <c r="C577" s="13" t="s">
        <v>610</v>
      </c>
      <c r="D577" t="s">
        <v>909</v>
      </c>
      <c r="E577">
        <v>700</v>
      </c>
    </row>
    <row r="578" spans="1:5">
      <c r="A578" s="12">
        <v>99154</v>
      </c>
      <c r="B578" s="13" t="s">
        <v>409</v>
      </c>
      <c r="C578" s="13" t="s">
        <v>410</v>
      </c>
      <c r="D578" t="s">
        <v>909</v>
      </c>
      <c r="E578">
        <v>700</v>
      </c>
    </row>
    <row r="579" spans="1:5">
      <c r="A579" s="12">
        <v>99165</v>
      </c>
      <c r="B579" s="13" t="s">
        <v>791</v>
      </c>
      <c r="C579" s="13" t="s">
        <v>792</v>
      </c>
      <c r="D579" t="s">
        <v>909</v>
      </c>
      <c r="E579">
        <v>600</v>
      </c>
    </row>
    <row r="580" spans="1:5">
      <c r="A580" s="12">
        <v>99168</v>
      </c>
      <c r="B580" s="13" t="s">
        <v>148</v>
      </c>
      <c r="C580" s="13" t="s">
        <v>149</v>
      </c>
      <c r="D580" t="s">
        <v>909</v>
      </c>
      <c r="E580">
        <v>800</v>
      </c>
    </row>
    <row r="581" spans="1:5">
      <c r="A581" s="12">
        <v>99190</v>
      </c>
      <c r="B581" s="13" t="s">
        <v>499</v>
      </c>
      <c r="C581" s="13" t="s">
        <v>500</v>
      </c>
      <c r="D581" t="s">
        <v>909</v>
      </c>
      <c r="E581">
        <v>700</v>
      </c>
    </row>
    <row r="582" spans="1:5">
      <c r="A582" s="12">
        <v>99192</v>
      </c>
      <c r="B582" s="13" t="s">
        <v>583</v>
      </c>
      <c r="C582" s="13" t="s">
        <v>584</v>
      </c>
      <c r="D582" t="s">
        <v>909</v>
      </c>
      <c r="E582">
        <v>700</v>
      </c>
    </row>
    <row r="583" spans="1:5">
      <c r="A583" s="12">
        <v>99201</v>
      </c>
      <c r="B583" s="13" t="s">
        <v>789</v>
      </c>
      <c r="C583" s="13" t="s">
        <v>790</v>
      </c>
      <c r="D583" t="s">
        <v>909</v>
      </c>
      <c r="E583">
        <v>600</v>
      </c>
    </row>
    <row r="584" spans="1:5">
      <c r="A584" s="12">
        <v>99208</v>
      </c>
      <c r="B584" s="13" t="s">
        <v>12</v>
      </c>
      <c r="C584" s="13" t="s">
        <v>922</v>
      </c>
      <c r="D584" t="s">
        <v>909</v>
      </c>
      <c r="E584">
        <v>1000</v>
      </c>
    </row>
    <row r="585" spans="1:5">
      <c r="A585" s="12">
        <v>99217</v>
      </c>
      <c r="B585" s="13" t="s">
        <v>291</v>
      </c>
      <c r="C585" s="13" t="s">
        <v>292</v>
      </c>
      <c r="D585" t="s">
        <v>909</v>
      </c>
      <c r="E585">
        <v>700</v>
      </c>
    </row>
    <row r="586" spans="1:5">
      <c r="A586" s="12">
        <v>99237</v>
      </c>
      <c r="B586" s="13" t="s">
        <v>283</v>
      </c>
      <c r="C586" s="13" t="s">
        <v>284</v>
      </c>
      <c r="D586" t="s">
        <v>909</v>
      </c>
      <c r="E586">
        <v>700</v>
      </c>
    </row>
    <row r="587" spans="1:5">
      <c r="A587" s="12">
        <v>99243</v>
      </c>
      <c r="B587" s="13" t="s">
        <v>481</v>
      </c>
      <c r="C587" s="13" t="s">
        <v>482</v>
      </c>
      <c r="D587" t="s">
        <v>909</v>
      </c>
      <c r="E587">
        <v>700</v>
      </c>
    </row>
    <row r="588" spans="1:5">
      <c r="A588" s="12">
        <v>99265</v>
      </c>
      <c r="B588" s="13" t="s">
        <v>587</v>
      </c>
      <c r="C588" s="13" t="s">
        <v>588</v>
      </c>
      <c r="D588" t="s">
        <v>909</v>
      </c>
      <c r="E588">
        <v>700</v>
      </c>
    </row>
    <row r="589" spans="1:5">
      <c r="A589" s="12">
        <v>99278</v>
      </c>
      <c r="B589" s="13" t="s">
        <v>811</v>
      </c>
      <c r="C589" s="13" t="s">
        <v>812</v>
      </c>
      <c r="D589" t="s">
        <v>909</v>
      </c>
      <c r="E589">
        <v>600</v>
      </c>
    </row>
    <row r="590" spans="1:5">
      <c r="A590" s="12">
        <v>99279</v>
      </c>
      <c r="B590" s="13" t="s">
        <v>549</v>
      </c>
      <c r="C590" s="13" t="s">
        <v>550</v>
      </c>
      <c r="D590" t="s">
        <v>909</v>
      </c>
      <c r="E590">
        <v>700</v>
      </c>
    </row>
    <row r="591" spans="1:5">
      <c r="A591" s="12">
        <v>99281</v>
      </c>
      <c r="B591" s="13" t="s">
        <v>692</v>
      </c>
      <c r="C591" s="13" t="s">
        <v>693</v>
      </c>
      <c r="D591" t="s">
        <v>909</v>
      </c>
      <c r="E591">
        <v>700</v>
      </c>
    </row>
    <row r="592" spans="1:5">
      <c r="A592" s="12">
        <v>99286</v>
      </c>
      <c r="B592" s="13" t="s">
        <v>363</v>
      </c>
      <c r="C592" s="13" t="s">
        <v>364</v>
      </c>
      <c r="D592" t="s">
        <v>909</v>
      </c>
      <c r="E592">
        <v>700</v>
      </c>
    </row>
    <row r="593" spans="1:5">
      <c r="A593" s="12">
        <v>99293</v>
      </c>
      <c r="B593" s="13" t="s">
        <v>309</v>
      </c>
      <c r="C593" s="13" t="s">
        <v>310</v>
      </c>
      <c r="D593" t="s">
        <v>909</v>
      </c>
      <c r="E593">
        <v>700</v>
      </c>
    </row>
    <row r="594" spans="1:5">
      <c r="A594" s="12">
        <v>99300</v>
      </c>
      <c r="B594" s="13" t="s">
        <v>521</v>
      </c>
      <c r="C594" s="13" t="s">
        <v>522</v>
      </c>
      <c r="D594" t="s">
        <v>909</v>
      </c>
      <c r="E594">
        <v>700</v>
      </c>
    </row>
    <row r="595" spans="1:5">
      <c r="A595" s="12">
        <v>99304</v>
      </c>
      <c r="B595" s="13" t="s">
        <v>144</v>
      </c>
      <c r="C595" s="13" t="s">
        <v>145</v>
      </c>
      <c r="D595" t="s">
        <v>909</v>
      </c>
      <c r="E595">
        <v>800</v>
      </c>
    </row>
    <row r="596" spans="1:5">
      <c r="A596" s="12">
        <v>99308</v>
      </c>
      <c r="B596" s="13" t="s">
        <v>837</v>
      </c>
      <c r="C596" s="13" t="s">
        <v>838</v>
      </c>
      <c r="D596" t="s">
        <v>909</v>
      </c>
      <c r="E596">
        <v>600</v>
      </c>
    </row>
    <row r="597" spans="1:5">
      <c r="A597" s="12">
        <v>99310</v>
      </c>
      <c r="B597" s="13" t="s">
        <v>307</v>
      </c>
      <c r="C597" s="13" t="s">
        <v>308</v>
      </c>
      <c r="D597" t="s">
        <v>909</v>
      </c>
      <c r="E597">
        <v>700</v>
      </c>
    </row>
    <row r="598" spans="1:5">
      <c r="A598" s="12">
        <v>99314</v>
      </c>
      <c r="B598" s="13" t="s">
        <v>152</v>
      </c>
      <c r="C598" s="13" t="s">
        <v>153</v>
      </c>
      <c r="D598" t="s">
        <v>909</v>
      </c>
      <c r="E598">
        <v>800</v>
      </c>
    </row>
    <row r="599" spans="1:5">
      <c r="A599" s="12">
        <v>99318</v>
      </c>
      <c r="B599" s="13" t="s">
        <v>706</v>
      </c>
      <c r="C599" s="13" t="s">
        <v>924</v>
      </c>
      <c r="D599" t="s">
        <v>909</v>
      </c>
      <c r="E599">
        <v>700</v>
      </c>
    </row>
    <row r="600" spans="1:5">
      <c r="A600" s="12">
        <v>99319</v>
      </c>
      <c r="B600" s="13" t="s">
        <v>575</v>
      </c>
      <c r="C600" s="13" t="s">
        <v>576</v>
      </c>
      <c r="D600" t="s">
        <v>909</v>
      </c>
      <c r="E600">
        <v>700</v>
      </c>
    </row>
    <row r="601" spans="1:5">
      <c r="A601" s="12">
        <v>99320</v>
      </c>
      <c r="B601" s="13" t="s">
        <v>769</v>
      </c>
      <c r="C601" s="13" t="s">
        <v>770</v>
      </c>
      <c r="D601" t="s">
        <v>909</v>
      </c>
      <c r="E601">
        <v>600</v>
      </c>
    </row>
    <row r="602" spans="1:5">
      <c r="A602" s="12">
        <v>99325</v>
      </c>
      <c r="B602" s="13" t="s">
        <v>275</v>
      </c>
      <c r="C602" s="13" t="s">
        <v>276</v>
      </c>
      <c r="D602" t="s">
        <v>909</v>
      </c>
      <c r="E602">
        <v>700</v>
      </c>
    </row>
    <row r="603" spans="1:5">
      <c r="A603" s="12">
        <v>99327</v>
      </c>
      <c r="B603" s="13" t="s">
        <v>549</v>
      </c>
      <c r="C603" s="13" t="s">
        <v>550</v>
      </c>
      <c r="D603" t="s">
        <v>909</v>
      </c>
      <c r="E603">
        <v>700</v>
      </c>
    </row>
    <row r="604" spans="1:5">
      <c r="A604" s="12">
        <v>99335</v>
      </c>
      <c r="B604" s="13" t="s">
        <v>833</v>
      </c>
      <c r="C604" s="13" t="s">
        <v>834</v>
      </c>
      <c r="D604" t="s">
        <v>909</v>
      </c>
      <c r="E604">
        <v>600</v>
      </c>
    </row>
    <row r="605" spans="1:5">
      <c r="A605" s="12">
        <v>99336</v>
      </c>
      <c r="B605" s="13" t="s">
        <v>557</v>
      </c>
      <c r="C605" s="13" t="s">
        <v>558</v>
      </c>
      <c r="D605" t="s">
        <v>909</v>
      </c>
      <c r="E605">
        <v>700</v>
      </c>
    </row>
    <row r="606" spans="1:5">
      <c r="A606" s="12">
        <v>99337</v>
      </c>
      <c r="B606" s="13" t="s">
        <v>285</v>
      </c>
      <c r="C606" s="13" t="s">
        <v>286</v>
      </c>
      <c r="D606" t="s">
        <v>909</v>
      </c>
      <c r="E606">
        <v>700</v>
      </c>
    </row>
    <row r="607" spans="1:5">
      <c r="A607" s="12">
        <v>99338</v>
      </c>
      <c r="B607" s="13" t="s">
        <v>855</v>
      </c>
      <c r="C607" s="13" t="s">
        <v>856</v>
      </c>
      <c r="D607" t="s">
        <v>909</v>
      </c>
      <c r="E607">
        <v>600</v>
      </c>
    </row>
    <row r="608" spans="1:5">
      <c r="A608" s="12">
        <v>99340</v>
      </c>
      <c r="B608" s="13" t="s">
        <v>152</v>
      </c>
      <c r="C608" s="13" t="s">
        <v>153</v>
      </c>
      <c r="D608" t="s">
        <v>909</v>
      </c>
      <c r="E608">
        <v>800</v>
      </c>
    </row>
    <row r="609" spans="1:5">
      <c r="A609" s="12">
        <v>99342</v>
      </c>
      <c r="B609" s="13" t="s">
        <v>523</v>
      </c>
      <c r="C609" s="13" t="s">
        <v>524</v>
      </c>
      <c r="D609" t="s">
        <v>909</v>
      </c>
      <c r="E609">
        <v>700</v>
      </c>
    </row>
    <row r="610" spans="1:5">
      <c r="A610" s="12">
        <v>99354</v>
      </c>
      <c r="B610" s="13" t="s">
        <v>441</v>
      </c>
      <c r="C610" s="13" t="s">
        <v>442</v>
      </c>
      <c r="D610" t="s">
        <v>909</v>
      </c>
      <c r="E610">
        <v>700</v>
      </c>
    </row>
    <row r="611" spans="1:5">
      <c r="A611" s="12">
        <v>99366</v>
      </c>
      <c r="B611" s="13" t="s">
        <v>12</v>
      </c>
      <c r="C611" s="13" t="s">
        <v>922</v>
      </c>
      <c r="D611" t="s">
        <v>909</v>
      </c>
      <c r="E611">
        <v>1000</v>
      </c>
    </row>
    <row r="612" spans="1:5">
      <c r="A612" s="12">
        <v>9937</v>
      </c>
      <c r="B612" s="13" t="s">
        <v>88</v>
      </c>
      <c r="C612" s="13" t="s">
        <v>89</v>
      </c>
      <c r="D612" t="s">
        <v>909</v>
      </c>
      <c r="E612">
        <v>1000</v>
      </c>
    </row>
    <row r="613" spans="1:5">
      <c r="A613" s="12">
        <v>99370</v>
      </c>
      <c r="B613" s="13" t="s">
        <v>248</v>
      </c>
      <c r="C613" s="13" t="s">
        <v>249</v>
      </c>
      <c r="D613" t="s">
        <v>909</v>
      </c>
      <c r="E613">
        <v>800</v>
      </c>
    </row>
    <row r="614" spans="1:5">
      <c r="A614" s="12">
        <v>99371</v>
      </c>
      <c r="B614" s="13" t="s">
        <v>47</v>
      </c>
      <c r="C614" s="13" t="s">
        <v>48</v>
      </c>
      <c r="D614" t="s">
        <v>909</v>
      </c>
      <c r="E614">
        <v>1000</v>
      </c>
    </row>
    <row r="615" spans="1:5">
      <c r="A615" s="12">
        <v>99386</v>
      </c>
      <c r="B615" s="13" t="s">
        <v>845</v>
      </c>
      <c r="C615" s="13" t="s">
        <v>846</v>
      </c>
      <c r="D615" t="s">
        <v>909</v>
      </c>
      <c r="E615">
        <v>600</v>
      </c>
    </row>
    <row r="616" spans="1:5">
      <c r="A616" s="12">
        <v>99388</v>
      </c>
      <c r="B616" s="13" t="s">
        <v>517</v>
      </c>
      <c r="C616" s="13" t="s">
        <v>518</v>
      </c>
      <c r="D616" t="s">
        <v>909</v>
      </c>
      <c r="E616">
        <v>700</v>
      </c>
    </row>
    <row r="617" spans="1:5">
      <c r="A617" s="12">
        <v>99390</v>
      </c>
      <c r="B617" s="13" t="s">
        <v>443</v>
      </c>
      <c r="C617" s="13" t="s">
        <v>444</v>
      </c>
      <c r="D617" t="s">
        <v>909</v>
      </c>
      <c r="E617">
        <v>700</v>
      </c>
    </row>
    <row r="618" spans="1:5">
      <c r="A618" s="12">
        <v>99392</v>
      </c>
      <c r="B618" s="13" t="s">
        <v>811</v>
      </c>
      <c r="C618" s="13" t="s">
        <v>812</v>
      </c>
      <c r="D618" t="s">
        <v>909</v>
      </c>
      <c r="E618">
        <v>600</v>
      </c>
    </row>
    <row r="619" spans="1:5">
      <c r="A619" s="12">
        <v>99396</v>
      </c>
      <c r="B619" s="13" t="s">
        <v>527</v>
      </c>
      <c r="C619" s="13" t="s">
        <v>528</v>
      </c>
      <c r="D619" t="s">
        <v>909</v>
      </c>
      <c r="E619">
        <v>700</v>
      </c>
    </row>
    <row r="620" spans="1:5">
      <c r="A620" s="12">
        <v>99397</v>
      </c>
      <c r="B620" s="13" t="s">
        <v>559</v>
      </c>
      <c r="C620" s="13" t="s">
        <v>560</v>
      </c>
      <c r="D620" t="s">
        <v>909</v>
      </c>
      <c r="E620">
        <v>700</v>
      </c>
    </row>
    <row r="621" spans="1:5">
      <c r="A621" s="12">
        <v>99400</v>
      </c>
      <c r="B621" s="13" t="s">
        <v>823</v>
      </c>
      <c r="C621" s="13" t="s">
        <v>824</v>
      </c>
      <c r="D621" t="s">
        <v>909</v>
      </c>
      <c r="E621">
        <v>600</v>
      </c>
    </row>
    <row r="622" spans="1:5">
      <c r="A622" s="12">
        <v>99402</v>
      </c>
      <c r="B622" s="13" t="s">
        <v>817</v>
      </c>
      <c r="C622" s="13" t="s">
        <v>818</v>
      </c>
      <c r="D622" t="s">
        <v>909</v>
      </c>
      <c r="E622">
        <v>600</v>
      </c>
    </row>
    <row r="623" spans="1:5">
      <c r="A623" s="12">
        <v>99416</v>
      </c>
      <c r="B623" s="13" t="s">
        <v>621</v>
      </c>
      <c r="C623" s="13" t="s">
        <v>622</v>
      </c>
      <c r="D623" t="s">
        <v>909</v>
      </c>
      <c r="E623">
        <v>700</v>
      </c>
    </row>
    <row r="624" spans="1:5">
      <c r="A624" s="12">
        <v>99420</v>
      </c>
      <c r="B624" s="13" t="s">
        <v>88</v>
      </c>
      <c r="C624" s="13" t="s">
        <v>89</v>
      </c>
      <c r="D624" t="s">
        <v>909</v>
      </c>
      <c r="E624">
        <v>1000</v>
      </c>
    </row>
    <row r="625" spans="1:5">
      <c r="A625" s="12">
        <v>99426</v>
      </c>
      <c r="B625" s="13" t="s">
        <v>23</v>
      </c>
      <c r="C625" s="13" t="s">
        <v>24</v>
      </c>
      <c r="D625" t="s">
        <v>909</v>
      </c>
      <c r="E625">
        <v>1000</v>
      </c>
    </row>
    <row r="626" spans="1:5">
      <c r="A626" s="12">
        <v>99435</v>
      </c>
      <c r="B626" s="13" t="s">
        <v>142</v>
      </c>
      <c r="C626" s="13" t="s">
        <v>143</v>
      </c>
      <c r="D626" t="s">
        <v>909</v>
      </c>
      <c r="E626">
        <v>800</v>
      </c>
    </row>
    <row r="627" spans="1:5">
      <c r="A627" s="12">
        <v>99436</v>
      </c>
      <c r="B627" s="13" t="s">
        <v>236</v>
      </c>
      <c r="C627" s="13" t="s">
        <v>237</v>
      </c>
      <c r="D627" t="s">
        <v>909</v>
      </c>
      <c r="E627">
        <v>800</v>
      </c>
    </row>
    <row r="628" spans="1:5">
      <c r="A628" s="12">
        <v>99443</v>
      </c>
      <c r="B628" s="13" t="s">
        <v>76</v>
      </c>
      <c r="C628" s="13" t="s">
        <v>77</v>
      </c>
      <c r="D628" t="s">
        <v>909</v>
      </c>
      <c r="E628">
        <v>1000</v>
      </c>
    </row>
    <row r="629" spans="1:5">
      <c r="A629" s="12">
        <v>99444</v>
      </c>
      <c r="B629" s="13" t="s">
        <v>252</v>
      </c>
      <c r="C629" s="13" t="s">
        <v>253</v>
      </c>
      <c r="D629" t="s">
        <v>909</v>
      </c>
      <c r="E629">
        <v>800</v>
      </c>
    </row>
    <row r="630" spans="1:5">
      <c r="A630" s="12">
        <v>99449</v>
      </c>
      <c r="B630" s="13" t="s">
        <v>425</v>
      </c>
      <c r="C630" s="13" t="s">
        <v>426</v>
      </c>
      <c r="D630" t="s">
        <v>909</v>
      </c>
      <c r="E630">
        <v>700</v>
      </c>
    </row>
    <row r="631" spans="1:5">
      <c r="A631" s="12">
        <v>99455</v>
      </c>
      <c r="B631" s="13" t="s">
        <v>727</v>
      </c>
      <c r="C631" s="13" t="s">
        <v>728</v>
      </c>
      <c r="D631" t="s">
        <v>909</v>
      </c>
      <c r="E631">
        <v>600</v>
      </c>
    </row>
    <row r="632" spans="1:5">
      <c r="A632" s="12">
        <v>99456</v>
      </c>
      <c r="B632" s="13" t="s">
        <v>134</v>
      </c>
      <c r="C632" s="13" t="s">
        <v>135</v>
      </c>
      <c r="D632" t="s">
        <v>909</v>
      </c>
      <c r="E632">
        <v>800</v>
      </c>
    </row>
    <row r="633" spans="1:5">
      <c r="A633" s="12">
        <v>99458</v>
      </c>
      <c r="B633" s="13" t="s">
        <v>680</v>
      </c>
      <c r="C633" s="13" t="s">
        <v>681</v>
      </c>
      <c r="D633" t="s">
        <v>909</v>
      </c>
      <c r="E633">
        <v>700</v>
      </c>
    </row>
    <row r="634" spans="1:5">
      <c r="A634" s="12">
        <v>99467</v>
      </c>
      <c r="B634" s="13" t="s">
        <v>119</v>
      </c>
      <c r="C634" s="13" t="s">
        <v>120</v>
      </c>
      <c r="D634" t="s">
        <v>909</v>
      </c>
      <c r="E634">
        <v>800</v>
      </c>
    </row>
    <row r="635" spans="1:5">
      <c r="A635" s="12">
        <v>99472</v>
      </c>
      <c r="B635" s="13" t="s">
        <v>531</v>
      </c>
      <c r="C635" s="13" t="s">
        <v>532</v>
      </c>
      <c r="D635" t="s">
        <v>909</v>
      </c>
      <c r="E635">
        <v>700</v>
      </c>
    </row>
    <row r="636" spans="1:5">
      <c r="A636" s="12">
        <v>99479</v>
      </c>
      <c r="B636" s="13" t="s">
        <v>409</v>
      </c>
      <c r="C636" s="13" t="s">
        <v>410</v>
      </c>
      <c r="D636" t="s">
        <v>909</v>
      </c>
      <c r="E636">
        <v>700</v>
      </c>
    </row>
    <row r="637" spans="1:5">
      <c r="A637" s="12">
        <v>99481</v>
      </c>
      <c r="B637" s="13" t="s">
        <v>469</v>
      </c>
      <c r="C637" s="13" t="s">
        <v>470</v>
      </c>
      <c r="D637" t="s">
        <v>909</v>
      </c>
      <c r="E637">
        <v>700</v>
      </c>
    </row>
    <row r="638" spans="1:5">
      <c r="A638" s="12">
        <v>99483</v>
      </c>
      <c r="B638" s="13" t="s">
        <v>100</v>
      </c>
      <c r="C638" s="13" t="s">
        <v>101</v>
      </c>
      <c r="D638" t="s">
        <v>909</v>
      </c>
      <c r="E638">
        <v>1000</v>
      </c>
    </row>
    <row r="639" spans="1:5">
      <c r="A639" s="12">
        <v>99485</v>
      </c>
      <c r="B639" s="13" t="s">
        <v>763</v>
      </c>
      <c r="C639" s="13" t="s">
        <v>764</v>
      </c>
      <c r="D639" t="s">
        <v>909</v>
      </c>
      <c r="E639">
        <v>600</v>
      </c>
    </row>
    <row r="640" spans="1:5">
      <c r="A640" s="12">
        <v>99490</v>
      </c>
      <c r="B640" s="13" t="s">
        <v>733</v>
      </c>
      <c r="C640" s="13" t="s">
        <v>734</v>
      </c>
      <c r="D640" t="s">
        <v>909</v>
      </c>
      <c r="E640">
        <v>600</v>
      </c>
    </row>
    <row r="641" spans="1:5">
      <c r="A641" s="12">
        <v>99497</v>
      </c>
      <c r="B641" s="13" t="s">
        <v>437</v>
      </c>
      <c r="C641" s="13" t="s">
        <v>438</v>
      </c>
      <c r="D641" t="s">
        <v>909</v>
      </c>
      <c r="E641">
        <v>700</v>
      </c>
    </row>
    <row r="642" spans="1:5">
      <c r="A642" s="12">
        <v>99498</v>
      </c>
      <c r="B642" s="13" t="s">
        <v>226</v>
      </c>
      <c r="C642" s="13" t="s">
        <v>227</v>
      </c>
      <c r="D642" t="s">
        <v>909</v>
      </c>
      <c r="E642">
        <v>800</v>
      </c>
    </row>
    <row r="643" spans="1:5">
      <c r="A643" s="12">
        <v>99500</v>
      </c>
      <c r="B643" s="13" t="s">
        <v>849</v>
      </c>
      <c r="C643" s="13" t="s">
        <v>850</v>
      </c>
      <c r="D643" t="s">
        <v>909</v>
      </c>
      <c r="E643">
        <v>600</v>
      </c>
    </row>
    <row r="644" spans="1:5">
      <c r="A644" s="12">
        <v>99504</v>
      </c>
      <c r="B644" s="13" t="s">
        <v>869</v>
      </c>
      <c r="C644" s="13" t="s">
        <v>870</v>
      </c>
      <c r="D644" t="s">
        <v>909</v>
      </c>
      <c r="E644">
        <v>600</v>
      </c>
    </row>
    <row r="645" spans="1:5">
      <c r="A645" s="12">
        <v>99505</v>
      </c>
      <c r="B645" s="13" t="s">
        <v>747</v>
      </c>
      <c r="C645" s="13" t="s">
        <v>748</v>
      </c>
      <c r="D645" t="s">
        <v>909</v>
      </c>
      <c r="E645">
        <v>600</v>
      </c>
    </row>
    <row r="646" spans="1:5">
      <c r="A646" s="12">
        <v>99506</v>
      </c>
      <c r="B646" s="13" t="s">
        <v>59</v>
      </c>
      <c r="C646" s="13" t="s">
        <v>60</v>
      </c>
      <c r="D646" t="s">
        <v>909</v>
      </c>
      <c r="E646">
        <v>1000</v>
      </c>
    </row>
    <row r="647" spans="1:5">
      <c r="A647" s="12">
        <v>99508</v>
      </c>
      <c r="B647" s="13" t="s">
        <v>731</v>
      </c>
      <c r="C647" s="13" t="s">
        <v>732</v>
      </c>
      <c r="D647" t="s">
        <v>909</v>
      </c>
      <c r="E647">
        <v>600</v>
      </c>
    </row>
    <row r="648" spans="1:5">
      <c r="A648" s="12">
        <v>99510</v>
      </c>
      <c r="B648" s="13" t="s">
        <v>339</v>
      </c>
      <c r="C648" s="13" t="s">
        <v>340</v>
      </c>
      <c r="D648" t="s">
        <v>909</v>
      </c>
      <c r="E648">
        <v>700</v>
      </c>
    </row>
    <row r="649" spans="1:5">
      <c r="A649" s="12">
        <v>99515</v>
      </c>
      <c r="B649" s="13" t="s">
        <v>291</v>
      </c>
      <c r="C649" s="13" t="s">
        <v>292</v>
      </c>
      <c r="D649" t="s">
        <v>909</v>
      </c>
      <c r="E649">
        <v>700</v>
      </c>
    </row>
    <row r="650" spans="1:5">
      <c r="A650" s="12">
        <v>99516</v>
      </c>
      <c r="B650" s="13" t="s">
        <v>248</v>
      </c>
      <c r="C650" s="13" t="s">
        <v>249</v>
      </c>
      <c r="D650" t="s">
        <v>909</v>
      </c>
      <c r="E650">
        <v>800</v>
      </c>
    </row>
    <row r="651" spans="1:5">
      <c r="A651" s="12">
        <v>99518</v>
      </c>
      <c r="B651" s="13" t="s">
        <v>597</v>
      </c>
      <c r="C651" s="13" t="s">
        <v>598</v>
      </c>
      <c r="D651" t="s">
        <v>909</v>
      </c>
      <c r="E651">
        <v>700</v>
      </c>
    </row>
    <row r="652" spans="1:5">
      <c r="A652" s="12">
        <v>99520</v>
      </c>
      <c r="B652" s="13" t="s">
        <v>545</v>
      </c>
      <c r="C652" s="13" t="s">
        <v>546</v>
      </c>
      <c r="D652" t="s">
        <v>909</v>
      </c>
      <c r="E652">
        <v>700</v>
      </c>
    </row>
    <row r="653" spans="1:5">
      <c r="A653" s="12">
        <v>99533</v>
      </c>
      <c r="B653" s="13" t="s">
        <v>789</v>
      </c>
      <c r="C653" s="13" t="s">
        <v>790</v>
      </c>
      <c r="D653" t="s">
        <v>909</v>
      </c>
      <c r="E653">
        <v>600</v>
      </c>
    </row>
    <row r="654" spans="1:5">
      <c r="A654" s="12">
        <v>99535</v>
      </c>
      <c r="B654" s="13" t="s">
        <v>281</v>
      </c>
      <c r="C654" s="13" t="s">
        <v>282</v>
      </c>
      <c r="D654" t="s">
        <v>909</v>
      </c>
      <c r="E654">
        <v>700</v>
      </c>
    </row>
    <row r="655" spans="1:5">
      <c r="A655" s="12">
        <v>99537</v>
      </c>
      <c r="B655" s="13" t="s">
        <v>37</v>
      </c>
      <c r="C655" s="13" t="s">
        <v>38</v>
      </c>
      <c r="D655" t="s">
        <v>909</v>
      </c>
      <c r="E655">
        <v>1000</v>
      </c>
    </row>
    <row r="656" spans="1:5">
      <c r="A656" s="12">
        <v>99544</v>
      </c>
      <c r="B656" s="13" t="s">
        <v>771</v>
      </c>
      <c r="C656" s="13" t="s">
        <v>772</v>
      </c>
      <c r="D656" t="s">
        <v>909</v>
      </c>
      <c r="E656">
        <v>600</v>
      </c>
    </row>
    <row r="657" spans="1:5">
      <c r="A657" s="12">
        <v>99546</v>
      </c>
      <c r="B657" s="13" t="s">
        <v>759</v>
      </c>
      <c r="C657" s="13" t="s">
        <v>760</v>
      </c>
      <c r="D657" t="s">
        <v>909</v>
      </c>
      <c r="E657">
        <v>600</v>
      </c>
    </row>
    <row r="658" spans="1:5">
      <c r="A658" s="12">
        <v>99550</v>
      </c>
      <c r="B658" s="13" t="s">
        <v>901</v>
      </c>
      <c r="C658" s="13" t="s">
        <v>918</v>
      </c>
      <c r="D658" t="s">
        <v>909</v>
      </c>
      <c r="E658">
        <v>600</v>
      </c>
    </row>
    <row r="659" spans="1:5">
      <c r="A659" s="12">
        <v>99554</v>
      </c>
      <c r="B659" s="13" t="s">
        <v>859</v>
      </c>
      <c r="C659" s="13" t="s">
        <v>860</v>
      </c>
      <c r="D659" t="s">
        <v>909</v>
      </c>
      <c r="E659">
        <v>600</v>
      </c>
    </row>
    <row r="660" spans="1:5">
      <c r="A660" s="12">
        <v>99555</v>
      </c>
      <c r="B660" s="13" t="s">
        <v>619</v>
      </c>
      <c r="C660" s="13" t="s">
        <v>620</v>
      </c>
      <c r="D660" t="s">
        <v>909</v>
      </c>
      <c r="E660">
        <v>700</v>
      </c>
    </row>
    <row r="661" spans="1:5">
      <c r="A661" s="12">
        <v>99561</v>
      </c>
      <c r="B661" s="13" t="s">
        <v>666</v>
      </c>
      <c r="C661" s="13" t="s">
        <v>667</v>
      </c>
      <c r="D661" t="s">
        <v>909</v>
      </c>
      <c r="E661">
        <v>700</v>
      </c>
    </row>
    <row r="662" spans="1:5">
      <c r="A662" s="12">
        <v>99562</v>
      </c>
      <c r="B662" s="13" t="s">
        <v>341</v>
      </c>
      <c r="C662" s="13" t="s">
        <v>342</v>
      </c>
      <c r="D662" t="s">
        <v>909</v>
      </c>
      <c r="E662">
        <v>700</v>
      </c>
    </row>
    <row r="663" spans="1:5">
      <c r="A663" s="12">
        <v>99563</v>
      </c>
      <c r="B663" s="13" t="s">
        <v>100</v>
      </c>
      <c r="C663" s="13" t="s">
        <v>101</v>
      </c>
      <c r="D663" t="s">
        <v>909</v>
      </c>
      <c r="E663">
        <v>1000</v>
      </c>
    </row>
    <row r="664" spans="1:5">
      <c r="A664" s="12">
        <v>99564</v>
      </c>
      <c r="B664" s="13" t="s">
        <v>134</v>
      </c>
      <c r="C664" s="13" t="s">
        <v>135</v>
      </c>
      <c r="D664" t="s">
        <v>909</v>
      </c>
      <c r="E664">
        <v>800</v>
      </c>
    </row>
    <row r="665" spans="1:5">
      <c r="A665" s="12">
        <v>99565</v>
      </c>
      <c r="B665" s="13" t="s">
        <v>823</v>
      </c>
      <c r="C665" s="13" t="s">
        <v>824</v>
      </c>
      <c r="D665" t="s">
        <v>909</v>
      </c>
      <c r="E665">
        <v>600</v>
      </c>
    </row>
    <row r="666" spans="1:5">
      <c r="A666" s="12">
        <v>99567</v>
      </c>
      <c r="B666" s="13" t="s">
        <v>176</v>
      </c>
      <c r="C666" s="13" t="s">
        <v>177</v>
      </c>
      <c r="D666" t="s">
        <v>909</v>
      </c>
      <c r="E666">
        <v>800</v>
      </c>
    </row>
    <row r="667" spans="1:5">
      <c r="A667" s="12">
        <v>99568</v>
      </c>
      <c r="B667" s="13" t="s">
        <v>236</v>
      </c>
      <c r="C667" s="13" t="s">
        <v>237</v>
      </c>
      <c r="D667" t="s">
        <v>909</v>
      </c>
      <c r="E667">
        <v>800</v>
      </c>
    </row>
    <row r="668" spans="1:5">
      <c r="A668" s="12">
        <v>99571</v>
      </c>
      <c r="B668" s="13" t="s">
        <v>607</v>
      </c>
      <c r="C668" s="13" t="s">
        <v>608</v>
      </c>
      <c r="D668" t="s">
        <v>909</v>
      </c>
      <c r="E668">
        <v>700</v>
      </c>
    </row>
    <row r="669" spans="1:5">
      <c r="A669" s="12">
        <v>99573</v>
      </c>
      <c r="B669" s="13" t="s">
        <v>146</v>
      </c>
      <c r="C669" s="13" t="s">
        <v>147</v>
      </c>
      <c r="D669" t="s">
        <v>909</v>
      </c>
      <c r="E669">
        <v>800</v>
      </c>
    </row>
    <row r="670" spans="1:5">
      <c r="A670" s="12">
        <v>99574</v>
      </c>
      <c r="B670" s="13" t="s">
        <v>156</v>
      </c>
      <c r="C670" s="13" t="s">
        <v>157</v>
      </c>
      <c r="D670" t="s">
        <v>909</v>
      </c>
      <c r="E670">
        <v>800</v>
      </c>
    </row>
    <row r="671" spans="1:5">
      <c r="A671" s="12">
        <v>99582</v>
      </c>
      <c r="B671" s="13" t="s">
        <v>783</v>
      </c>
      <c r="C671" s="13" t="s">
        <v>784</v>
      </c>
      <c r="D671" t="s">
        <v>909</v>
      </c>
      <c r="E671">
        <v>600</v>
      </c>
    </row>
    <row r="672" spans="1:5">
      <c r="A672" s="12">
        <v>99583</v>
      </c>
      <c r="B672" s="13" t="s">
        <v>12</v>
      </c>
      <c r="C672" s="13" t="s">
        <v>922</v>
      </c>
      <c r="D672" t="s">
        <v>909</v>
      </c>
      <c r="E672">
        <v>1000</v>
      </c>
    </row>
    <row r="673" spans="1:5">
      <c r="A673" s="12">
        <v>99590</v>
      </c>
      <c r="B673" s="13" t="s">
        <v>250</v>
      </c>
      <c r="C673" s="13" t="s">
        <v>251</v>
      </c>
      <c r="D673" t="s">
        <v>909</v>
      </c>
      <c r="E673">
        <v>800</v>
      </c>
    </row>
    <row r="674" spans="1:5">
      <c r="A674" s="12">
        <v>99598</v>
      </c>
      <c r="B674" s="13" t="s">
        <v>429</v>
      </c>
      <c r="C674" s="13" t="s">
        <v>430</v>
      </c>
      <c r="D674" t="s">
        <v>909</v>
      </c>
      <c r="E674">
        <v>700</v>
      </c>
    </row>
    <row r="675" spans="1:5">
      <c r="A675" s="12">
        <v>999030</v>
      </c>
      <c r="B675" s="13" t="s">
        <v>307</v>
      </c>
      <c r="C675" s="13" t="s">
        <v>308</v>
      </c>
      <c r="D675" t="s">
        <v>909</v>
      </c>
      <c r="E675">
        <v>700</v>
      </c>
    </row>
    <row r="676" spans="1:5">
      <c r="A676" s="12">
        <v>999049</v>
      </c>
      <c r="B676" s="13" t="s">
        <v>539</v>
      </c>
      <c r="C676" s="13" t="s">
        <v>540</v>
      </c>
      <c r="D676" t="s">
        <v>909</v>
      </c>
      <c r="E676">
        <v>700</v>
      </c>
    </row>
    <row r="677" spans="1:5">
      <c r="A677" s="12">
        <v>999058</v>
      </c>
      <c r="B677" s="13" t="s">
        <v>41</v>
      </c>
      <c r="C677" s="13" t="s">
        <v>42</v>
      </c>
      <c r="D677" t="s">
        <v>909</v>
      </c>
      <c r="E677">
        <v>1000</v>
      </c>
    </row>
    <row r="678" spans="1:5">
      <c r="A678" s="12">
        <v>999075</v>
      </c>
      <c r="B678" s="13" t="s">
        <v>136</v>
      </c>
      <c r="C678" s="13" t="s">
        <v>137</v>
      </c>
      <c r="D678" t="s">
        <v>909</v>
      </c>
      <c r="E678">
        <v>800</v>
      </c>
    </row>
    <row r="679" spans="1:5">
      <c r="A679" s="12">
        <v>999084</v>
      </c>
      <c r="B679" s="13" t="s">
        <v>867</v>
      </c>
      <c r="C679" s="13" t="s">
        <v>868</v>
      </c>
      <c r="D679" t="s">
        <v>909</v>
      </c>
      <c r="E679">
        <v>600</v>
      </c>
    </row>
    <row r="680" spans="1:5">
      <c r="A680" s="12">
        <v>999097</v>
      </c>
      <c r="B680" s="13" t="s">
        <v>39</v>
      </c>
      <c r="C680" s="13" t="s">
        <v>40</v>
      </c>
      <c r="D680" t="s">
        <v>909</v>
      </c>
      <c r="E680">
        <v>1000</v>
      </c>
    </row>
    <row r="681" spans="1:5">
      <c r="A681" s="12">
        <v>999163</v>
      </c>
      <c r="B681" s="13" t="s">
        <v>783</v>
      </c>
      <c r="C681" s="13" t="s">
        <v>784</v>
      </c>
      <c r="D681" t="s">
        <v>909</v>
      </c>
      <c r="E681">
        <v>600</v>
      </c>
    </row>
    <row r="682" spans="1:5">
      <c r="A682" s="12">
        <v>999170</v>
      </c>
      <c r="B682" s="13" t="s">
        <v>706</v>
      </c>
      <c r="C682" s="13" t="s">
        <v>924</v>
      </c>
      <c r="D682" t="s">
        <v>909</v>
      </c>
      <c r="E682">
        <v>700</v>
      </c>
    </row>
    <row r="683" spans="1:5">
      <c r="A683" s="12">
        <v>999204</v>
      </c>
      <c r="B683" s="13" t="s">
        <v>140</v>
      </c>
      <c r="C683" s="13" t="s">
        <v>141</v>
      </c>
      <c r="D683" t="s">
        <v>909</v>
      </c>
      <c r="E683">
        <v>800</v>
      </c>
    </row>
    <row r="684" spans="1:5">
      <c r="A684" s="12">
        <v>999232</v>
      </c>
      <c r="B684" s="13" t="s">
        <v>383</v>
      </c>
      <c r="C684" s="13" t="s">
        <v>920</v>
      </c>
      <c r="D684" t="s">
        <v>909</v>
      </c>
      <c r="E684">
        <v>700</v>
      </c>
    </row>
    <row r="685" spans="1:5">
      <c r="A685" s="12">
        <v>999237</v>
      </c>
      <c r="B685" s="13" t="s">
        <v>383</v>
      </c>
      <c r="C685" s="13" t="s">
        <v>920</v>
      </c>
      <c r="D685" t="s">
        <v>909</v>
      </c>
      <c r="E685">
        <v>700</v>
      </c>
    </row>
    <row r="686" spans="1:5">
      <c r="A686" s="12">
        <v>999257</v>
      </c>
      <c r="B686" s="13" t="s">
        <v>676</v>
      </c>
      <c r="C686" s="13" t="s">
        <v>677</v>
      </c>
      <c r="D686" t="s">
        <v>909</v>
      </c>
      <c r="E686">
        <v>1700</v>
      </c>
    </row>
    <row r="687" spans="1:5">
      <c r="A687" s="12">
        <v>999287</v>
      </c>
      <c r="B687" s="13" t="s">
        <v>611</v>
      </c>
      <c r="C687" s="13" t="s">
        <v>612</v>
      </c>
      <c r="D687" t="s">
        <v>909</v>
      </c>
      <c r="E687">
        <v>700</v>
      </c>
    </row>
    <row r="688" spans="1:5">
      <c r="A688" s="12">
        <v>999296</v>
      </c>
      <c r="B688" s="13" t="s">
        <v>449</v>
      </c>
      <c r="C688" s="13" t="s">
        <v>450</v>
      </c>
      <c r="D688" t="s">
        <v>909</v>
      </c>
      <c r="E688">
        <v>700</v>
      </c>
    </row>
    <row r="689" spans="1:5">
      <c r="A689" s="12">
        <v>999306</v>
      </c>
      <c r="B689" s="13" t="s">
        <v>499</v>
      </c>
      <c r="C689" s="13" t="s">
        <v>500</v>
      </c>
      <c r="D689" t="s">
        <v>909</v>
      </c>
      <c r="E689">
        <v>700</v>
      </c>
    </row>
    <row r="690" spans="1:5">
      <c r="A690" s="12">
        <v>999327</v>
      </c>
      <c r="B690" s="13" t="s">
        <v>204</v>
      </c>
      <c r="C690" s="13" t="s">
        <v>205</v>
      </c>
      <c r="D690" t="s">
        <v>909</v>
      </c>
      <c r="E690">
        <v>800</v>
      </c>
    </row>
    <row r="691" spans="1:5">
      <c r="A691" s="12">
        <v>999335</v>
      </c>
      <c r="B691" s="13" t="s">
        <v>629</v>
      </c>
      <c r="C691" s="13" t="s">
        <v>630</v>
      </c>
      <c r="D691" t="s">
        <v>909</v>
      </c>
      <c r="E691">
        <v>700</v>
      </c>
    </row>
    <row r="692" spans="1:5">
      <c r="A692" s="12">
        <v>999365</v>
      </c>
      <c r="B692" s="13" t="s">
        <v>885</v>
      </c>
      <c r="C692" s="13" t="s">
        <v>886</v>
      </c>
      <c r="D692" t="s">
        <v>909</v>
      </c>
      <c r="E692">
        <v>600</v>
      </c>
    </row>
    <row r="693" spans="1:5">
      <c r="A693" s="12">
        <v>999369</v>
      </c>
      <c r="B693" s="13" t="s">
        <v>747</v>
      </c>
      <c r="C693" s="13" t="s">
        <v>748</v>
      </c>
      <c r="D693" t="s">
        <v>909</v>
      </c>
      <c r="E693">
        <v>600</v>
      </c>
    </row>
    <row r="694" spans="1:5">
      <c r="A694" s="12">
        <v>999391</v>
      </c>
      <c r="B694" s="13" t="s">
        <v>138</v>
      </c>
      <c r="C694" s="13" t="s">
        <v>139</v>
      </c>
      <c r="D694" t="s">
        <v>909</v>
      </c>
      <c r="E694">
        <v>800</v>
      </c>
    </row>
    <row r="695" spans="1:5">
      <c r="A695" s="12">
        <v>999465</v>
      </c>
      <c r="B695" s="13" t="s">
        <v>591</v>
      </c>
      <c r="C695" s="13" t="s">
        <v>592</v>
      </c>
      <c r="D695" t="s">
        <v>909</v>
      </c>
      <c r="E695">
        <v>700</v>
      </c>
    </row>
    <row r="696" spans="1:5">
      <c r="A696" s="12">
        <v>999469</v>
      </c>
      <c r="B696" s="13" t="s">
        <v>25</v>
      </c>
      <c r="C696" s="13" t="s">
        <v>26</v>
      </c>
      <c r="D696" t="s">
        <v>909</v>
      </c>
      <c r="E696">
        <v>1000</v>
      </c>
    </row>
    <row r="697" spans="1:5">
      <c r="A697" s="12">
        <v>999475</v>
      </c>
      <c r="B697" s="13" t="s">
        <v>751</v>
      </c>
      <c r="C697" s="13" t="s">
        <v>752</v>
      </c>
      <c r="D697" t="s">
        <v>909</v>
      </c>
      <c r="E697">
        <v>600</v>
      </c>
    </row>
    <row r="698" spans="1:5">
      <c r="A698" s="12">
        <v>999476</v>
      </c>
      <c r="B698" s="13" t="s">
        <v>29</v>
      </c>
      <c r="C698" s="13" t="s">
        <v>30</v>
      </c>
      <c r="D698" t="s">
        <v>909</v>
      </c>
      <c r="E698">
        <v>1000</v>
      </c>
    </row>
    <row r="699" spans="1:5">
      <c r="A699" s="12">
        <v>999493</v>
      </c>
      <c r="B699" s="13" t="s">
        <v>236</v>
      </c>
      <c r="C699" s="13" t="s">
        <v>237</v>
      </c>
      <c r="D699" t="s">
        <v>909</v>
      </c>
      <c r="E699">
        <v>800</v>
      </c>
    </row>
    <row r="700" spans="1:5">
      <c r="A700" s="12">
        <v>999496</v>
      </c>
      <c r="B700" s="13" t="s">
        <v>121</v>
      </c>
      <c r="C700" s="13" t="s">
        <v>122</v>
      </c>
      <c r="D700" t="s">
        <v>909</v>
      </c>
      <c r="E700">
        <v>800</v>
      </c>
    </row>
    <row r="701" spans="1:5">
      <c r="A701" s="12">
        <v>999520</v>
      </c>
      <c r="B701" s="13" t="s">
        <v>611</v>
      </c>
      <c r="C701" s="13" t="s">
        <v>612</v>
      </c>
      <c r="D701" t="s">
        <v>909</v>
      </c>
      <c r="E701">
        <v>700</v>
      </c>
    </row>
    <row r="702" spans="1:5">
      <c r="A702" s="12">
        <v>999530</v>
      </c>
      <c r="B702" s="13" t="s">
        <v>117</v>
      </c>
      <c r="C702" s="13" t="s">
        <v>118</v>
      </c>
      <c r="D702" t="s">
        <v>909</v>
      </c>
      <c r="E702">
        <v>800</v>
      </c>
    </row>
    <row r="703" spans="1:5">
      <c r="A703" s="12">
        <v>999540</v>
      </c>
      <c r="B703" s="13" t="s">
        <v>473</v>
      </c>
      <c r="C703" s="13" t="s">
        <v>474</v>
      </c>
      <c r="D703" t="s">
        <v>909</v>
      </c>
      <c r="E703">
        <v>700</v>
      </c>
    </row>
    <row r="704" spans="1:5">
      <c r="A704" s="12">
        <v>999545</v>
      </c>
      <c r="B704" s="13" t="s">
        <v>543</v>
      </c>
      <c r="C704" s="13" t="s">
        <v>544</v>
      </c>
      <c r="D704" t="s">
        <v>909</v>
      </c>
      <c r="E704">
        <v>700</v>
      </c>
    </row>
    <row r="705" spans="1:5">
      <c r="A705" s="12">
        <v>999553</v>
      </c>
      <c r="B705" s="13" t="s">
        <v>273</v>
      </c>
      <c r="C705" s="13" t="s">
        <v>274</v>
      </c>
      <c r="D705" t="s">
        <v>909</v>
      </c>
      <c r="E705">
        <v>700</v>
      </c>
    </row>
    <row r="706" spans="1:5">
      <c r="A706" s="12">
        <v>999558</v>
      </c>
      <c r="B706" s="13" t="s">
        <v>21</v>
      </c>
      <c r="C706" s="13" t="s">
        <v>22</v>
      </c>
      <c r="D706" t="s">
        <v>909</v>
      </c>
      <c r="E706">
        <v>1000</v>
      </c>
    </row>
    <row r="707" spans="1:5">
      <c r="A707" s="12">
        <v>999567</v>
      </c>
      <c r="B707" s="13" t="s">
        <v>21</v>
      </c>
      <c r="C707" s="13" t="s">
        <v>22</v>
      </c>
      <c r="D707" t="s">
        <v>909</v>
      </c>
      <c r="E707">
        <v>1000</v>
      </c>
    </row>
    <row r="708" spans="1:5">
      <c r="A708" s="12">
        <v>999573</v>
      </c>
      <c r="B708" s="13" t="s">
        <v>815</v>
      </c>
      <c r="C708" s="13" t="s">
        <v>816</v>
      </c>
      <c r="D708" t="s">
        <v>909</v>
      </c>
      <c r="E708">
        <v>600</v>
      </c>
    </row>
    <row r="709" spans="1:5">
      <c r="A709" s="12">
        <v>999586</v>
      </c>
      <c r="B709" s="13" t="s">
        <v>587</v>
      </c>
      <c r="C709" s="13" t="s">
        <v>588</v>
      </c>
      <c r="D709" t="s">
        <v>909</v>
      </c>
      <c r="E709">
        <v>700</v>
      </c>
    </row>
    <row r="710" spans="1:5">
      <c r="A710" s="12">
        <v>999594</v>
      </c>
      <c r="B710" s="13" t="s">
        <v>763</v>
      </c>
      <c r="C710" s="13" t="s">
        <v>764</v>
      </c>
      <c r="D710" t="s">
        <v>909</v>
      </c>
      <c r="E710">
        <v>600</v>
      </c>
    </row>
    <row r="711" spans="1:5">
      <c r="A711" s="12">
        <v>999611</v>
      </c>
      <c r="B711" s="13" t="s">
        <v>246</v>
      </c>
      <c r="C711" s="13" t="s">
        <v>247</v>
      </c>
      <c r="D711" t="s">
        <v>909</v>
      </c>
      <c r="E711">
        <v>800</v>
      </c>
    </row>
    <row r="712" spans="1:5">
      <c r="A712" s="12">
        <v>999637</v>
      </c>
      <c r="B712" s="13" t="s">
        <v>307</v>
      </c>
      <c r="C712" s="13" t="s">
        <v>308</v>
      </c>
      <c r="D712" t="s">
        <v>909</v>
      </c>
      <c r="E712">
        <v>700</v>
      </c>
    </row>
    <row r="713" spans="1:5">
      <c r="A713" s="12">
        <v>999638</v>
      </c>
      <c r="B713" s="13" t="s">
        <v>577</v>
      </c>
      <c r="C713" s="13" t="s">
        <v>923</v>
      </c>
      <c r="D713" t="s">
        <v>909</v>
      </c>
      <c r="E713">
        <v>700</v>
      </c>
    </row>
    <row r="714" spans="1:5">
      <c r="A714" s="12">
        <v>999651</v>
      </c>
      <c r="B714" s="13" t="s">
        <v>100</v>
      </c>
      <c r="C714" s="13" t="s">
        <v>101</v>
      </c>
      <c r="D714" t="s">
        <v>909</v>
      </c>
      <c r="E714">
        <v>1000</v>
      </c>
    </row>
    <row r="715" spans="1:5">
      <c r="A715" s="12">
        <v>999656</v>
      </c>
      <c r="B715" s="13" t="s">
        <v>172</v>
      </c>
      <c r="C715" s="13" t="s">
        <v>173</v>
      </c>
      <c r="D715" t="s">
        <v>909</v>
      </c>
      <c r="E715">
        <v>800</v>
      </c>
    </row>
    <row r="716" spans="1:5">
      <c r="A716" s="12">
        <v>999660</v>
      </c>
      <c r="B716" s="13" t="s">
        <v>437</v>
      </c>
      <c r="C716" s="13" t="s">
        <v>438</v>
      </c>
      <c r="D716" t="s">
        <v>909</v>
      </c>
      <c r="E716">
        <v>700</v>
      </c>
    </row>
    <row r="717" spans="1:5">
      <c r="A717" s="12">
        <v>999693</v>
      </c>
      <c r="B717" s="13" t="s">
        <v>415</v>
      </c>
      <c r="C717" s="13" t="s">
        <v>416</v>
      </c>
      <c r="D717" t="s">
        <v>909</v>
      </c>
      <c r="E717">
        <v>700</v>
      </c>
    </row>
    <row r="718" spans="1:5">
      <c r="A718" s="12">
        <v>999699</v>
      </c>
      <c r="B718" s="13" t="s">
        <v>686</v>
      </c>
      <c r="C718" s="13" t="s">
        <v>687</v>
      </c>
      <c r="D718" t="s">
        <v>909</v>
      </c>
      <c r="E718">
        <v>700</v>
      </c>
    </row>
    <row r="719" spans="1:5">
      <c r="A719" s="12">
        <v>999704</v>
      </c>
      <c r="B719" s="13" t="s">
        <v>55</v>
      </c>
      <c r="C719" s="13" t="s">
        <v>56</v>
      </c>
      <c r="D719" t="s">
        <v>909</v>
      </c>
      <c r="E719">
        <v>1000</v>
      </c>
    </row>
    <row r="720" spans="1:5">
      <c r="A720" s="12">
        <v>999708</v>
      </c>
      <c r="B720" s="13" t="s">
        <v>47</v>
      </c>
      <c r="C720" s="13" t="s">
        <v>48</v>
      </c>
      <c r="D720" t="s">
        <v>909</v>
      </c>
      <c r="E720">
        <v>1000</v>
      </c>
    </row>
    <row r="721" spans="1:5">
      <c r="A721" s="12">
        <v>999725</v>
      </c>
      <c r="B721" s="13" t="s">
        <v>733</v>
      </c>
      <c r="C721" s="13" t="s">
        <v>734</v>
      </c>
      <c r="D721" t="s">
        <v>909</v>
      </c>
      <c r="E721">
        <v>600</v>
      </c>
    </row>
    <row r="722" spans="1:5">
      <c r="A722" s="12">
        <v>999758</v>
      </c>
      <c r="B722" s="13" t="s">
        <v>643</v>
      </c>
      <c r="C722" s="13" t="s">
        <v>644</v>
      </c>
      <c r="D722" t="s">
        <v>909</v>
      </c>
      <c r="E722">
        <v>700</v>
      </c>
    </row>
    <row r="723" spans="1:5">
      <c r="A723" s="12">
        <v>999762</v>
      </c>
      <c r="B723" s="13" t="s">
        <v>535</v>
      </c>
      <c r="C723" s="13" t="s">
        <v>536</v>
      </c>
      <c r="D723" t="s">
        <v>909</v>
      </c>
      <c r="E723">
        <v>700</v>
      </c>
    </row>
    <row r="724" spans="1:5">
      <c r="A724" s="12">
        <v>999764</v>
      </c>
      <c r="B724" s="13" t="s">
        <v>94</v>
      </c>
      <c r="C724" s="13" t="s">
        <v>95</v>
      </c>
      <c r="D724" t="s">
        <v>909</v>
      </c>
      <c r="E724">
        <v>1000</v>
      </c>
    </row>
    <row r="725" spans="1:5">
      <c r="A725" s="12">
        <v>98320</v>
      </c>
      <c r="B725" s="13" t="s">
        <v>45</v>
      </c>
      <c r="C725" s="13" t="s">
        <v>46</v>
      </c>
      <c r="D725" t="s">
        <v>909</v>
      </c>
      <c r="E725">
        <v>1000</v>
      </c>
    </row>
    <row r="726" spans="1:5">
      <c r="A726" s="12">
        <v>999771</v>
      </c>
      <c r="B726" s="13" t="s">
        <v>45</v>
      </c>
      <c r="C726" s="13" t="s">
        <v>46</v>
      </c>
      <c r="D726" t="s">
        <v>909</v>
      </c>
      <c r="E726">
        <v>1000</v>
      </c>
    </row>
    <row r="727" spans="1:5">
      <c r="A727" s="12">
        <v>999772</v>
      </c>
      <c r="B727" s="13" t="s">
        <v>823</v>
      </c>
      <c r="C727" s="13" t="s">
        <v>824</v>
      </c>
      <c r="D727" t="s">
        <v>909</v>
      </c>
      <c r="E727">
        <v>600</v>
      </c>
    </row>
    <row r="728" spans="1:5">
      <c r="A728" s="12">
        <v>999795</v>
      </c>
      <c r="B728" s="13" t="s">
        <v>495</v>
      </c>
      <c r="C728" s="13" t="s">
        <v>496</v>
      </c>
      <c r="D728" t="s">
        <v>909</v>
      </c>
      <c r="E728">
        <v>700</v>
      </c>
    </row>
    <row r="729" spans="1:5">
      <c r="A729" s="12">
        <v>999823</v>
      </c>
      <c r="B729" s="13" t="s">
        <v>273</v>
      </c>
      <c r="C729" s="13" t="s">
        <v>274</v>
      </c>
      <c r="D729" t="s">
        <v>909</v>
      </c>
      <c r="E729">
        <v>700</v>
      </c>
    </row>
    <row r="730" spans="1:5">
      <c r="A730" s="12">
        <v>999826</v>
      </c>
      <c r="B730" s="13" t="s">
        <v>447</v>
      </c>
      <c r="C730" s="13" t="s">
        <v>448</v>
      </c>
      <c r="D730" t="s">
        <v>909</v>
      </c>
      <c r="E730">
        <v>700</v>
      </c>
    </row>
    <row r="731" spans="1:5">
      <c r="A731" s="12">
        <v>999834</v>
      </c>
      <c r="B731" s="13" t="s">
        <v>301</v>
      </c>
      <c r="C731" s="13" t="s">
        <v>302</v>
      </c>
      <c r="D731" t="s">
        <v>909</v>
      </c>
      <c r="E731">
        <v>700</v>
      </c>
    </row>
    <row r="732" spans="1:5">
      <c r="A732" s="12">
        <v>999851</v>
      </c>
      <c r="B732" s="13" t="s">
        <v>539</v>
      </c>
      <c r="C732" s="13" t="s">
        <v>540</v>
      </c>
      <c r="D732" t="s">
        <v>909</v>
      </c>
      <c r="E732">
        <v>700</v>
      </c>
    </row>
    <row r="733" spans="1:5">
      <c r="A733" s="12">
        <v>999852</v>
      </c>
      <c r="B733" s="13" t="s">
        <v>146</v>
      </c>
      <c r="C733" s="13" t="s">
        <v>147</v>
      </c>
      <c r="D733" t="s">
        <v>909</v>
      </c>
      <c r="E733">
        <v>800</v>
      </c>
    </row>
    <row r="734" spans="1:5">
      <c r="A734" s="12">
        <v>999867</v>
      </c>
      <c r="B734" s="13" t="s">
        <v>439</v>
      </c>
      <c r="C734" s="13" t="s">
        <v>440</v>
      </c>
      <c r="D734" t="s">
        <v>909</v>
      </c>
      <c r="E734">
        <v>700</v>
      </c>
    </row>
    <row r="735" spans="1:5">
      <c r="A735" s="12">
        <v>999876</v>
      </c>
      <c r="B735" s="13" t="s">
        <v>57</v>
      </c>
      <c r="C735" s="13" t="s">
        <v>58</v>
      </c>
      <c r="D735" t="s">
        <v>909</v>
      </c>
      <c r="E735">
        <v>1000</v>
      </c>
    </row>
    <row r="736" spans="1:5">
      <c r="A736" s="12">
        <v>999880</v>
      </c>
      <c r="B736" s="13" t="s">
        <v>557</v>
      </c>
      <c r="C736" s="13" t="s">
        <v>558</v>
      </c>
      <c r="D736" t="s">
        <v>909</v>
      </c>
      <c r="E736">
        <v>700</v>
      </c>
    </row>
    <row r="737" spans="1:5">
      <c r="A737" s="12">
        <v>999889</v>
      </c>
      <c r="B737" s="13" t="s">
        <v>674</v>
      </c>
      <c r="C737" s="13" t="s">
        <v>675</v>
      </c>
      <c r="D737" t="s">
        <v>909</v>
      </c>
      <c r="E737">
        <v>700</v>
      </c>
    </row>
    <row r="738" spans="1:5">
      <c r="A738" s="12">
        <v>999892</v>
      </c>
      <c r="B738" s="13" t="s">
        <v>121</v>
      </c>
      <c r="C738" s="13" t="s">
        <v>122</v>
      </c>
      <c r="D738" t="s">
        <v>909</v>
      </c>
      <c r="E738">
        <v>800</v>
      </c>
    </row>
    <row r="739" spans="1:5">
      <c r="A739" s="12">
        <v>999899</v>
      </c>
      <c r="B739" s="13" t="s">
        <v>739</v>
      </c>
      <c r="C739" s="13" t="s">
        <v>740</v>
      </c>
      <c r="D739" t="s">
        <v>909</v>
      </c>
      <c r="E739">
        <v>600</v>
      </c>
    </row>
    <row r="740" spans="1:5">
      <c r="A740" s="12">
        <v>999906</v>
      </c>
      <c r="B740" s="13" t="s">
        <v>712</v>
      </c>
      <c r="C740" s="13" t="s">
        <v>713</v>
      </c>
      <c r="D740" t="s">
        <v>909</v>
      </c>
      <c r="E740">
        <v>600</v>
      </c>
    </row>
    <row r="741" spans="1:5">
      <c r="A741" s="12">
        <v>999923</v>
      </c>
      <c r="B741" s="13" t="s">
        <v>674</v>
      </c>
      <c r="C741" s="13" t="s">
        <v>675</v>
      </c>
      <c r="D741" t="s">
        <v>909</v>
      </c>
      <c r="E741">
        <v>700</v>
      </c>
    </row>
    <row r="742" spans="1:5">
      <c r="A742" s="12">
        <v>999933</v>
      </c>
      <c r="B742" s="13" t="s">
        <v>82</v>
      </c>
      <c r="C742" s="13" t="s">
        <v>83</v>
      </c>
      <c r="D742" t="s">
        <v>909</v>
      </c>
      <c r="E742">
        <v>1000</v>
      </c>
    </row>
    <row r="743" spans="1:5">
      <c r="A743" s="12">
        <v>999954</v>
      </c>
      <c r="B743" s="13" t="s">
        <v>821</v>
      </c>
      <c r="C743" s="13" t="s">
        <v>822</v>
      </c>
      <c r="D743" t="s">
        <v>909</v>
      </c>
      <c r="E743">
        <v>600</v>
      </c>
    </row>
    <row r="744" spans="1:5">
      <c r="A744" s="12">
        <v>999959</v>
      </c>
      <c r="B744" s="13" t="s">
        <v>841</v>
      </c>
      <c r="C744" s="13" t="s">
        <v>842</v>
      </c>
      <c r="D744" t="s">
        <v>909</v>
      </c>
      <c r="E744">
        <v>600</v>
      </c>
    </row>
    <row r="745" spans="1:5">
      <c r="A745" s="12">
        <v>999961</v>
      </c>
      <c r="B745" s="13" t="s">
        <v>805</v>
      </c>
      <c r="C745" s="13" t="s">
        <v>806</v>
      </c>
      <c r="D745" t="s">
        <v>909</v>
      </c>
      <c r="E745">
        <v>600</v>
      </c>
    </row>
    <row r="746" spans="1:5">
      <c r="A746" s="12">
        <v>999963</v>
      </c>
      <c r="B746" s="13" t="s">
        <v>45</v>
      </c>
      <c r="C746" s="13" t="s">
        <v>46</v>
      </c>
      <c r="D746" t="s">
        <v>909</v>
      </c>
      <c r="E746">
        <v>1000</v>
      </c>
    </row>
    <row r="747" spans="1:5">
      <c r="A747" s="12">
        <v>999973</v>
      </c>
      <c r="B747" s="13" t="s">
        <v>121</v>
      </c>
      <c r="C747" s="13" t="s">
        <v>122</v>
      </c>
      <c r="D747" t="s">
        <v>909</v>
      </c>
      <c r="E747">
        <v>800</v>
      </c>
    </row>
    <row r="748" spans="1:5">
      <c r="A748" s="12">
        <v>999982</v>
      </c>
      <c r="B748" s="13" t="s">
        <v>74</v>
      </c>
      <c r="C748" s="13" t="s">
        <v>921</v>
      </c>
      <c r="D748" t="s">
        <v>909</v>
      </c>
      <c r="E748">
        <v>1000</v>
      </c>
    </row>
    <row r="749" spans="1:5">
      <c r="A749" s="12">
        <v>999997</v>
      </c>
      <c r="B749" s="13" t="s">
        <v>511</v>
      </c>
      <c r="C749" s="13" t="s">
        <v>512</v>
      </c>
      <c r="D749" t="s">
        <v>909</v>
      </c>
      <c r="E749">
        <v>700</v>
      </c>
    </row>
  </sheetData>
  <autoFilter ref="A1:E749" xr:uid="{097F2F3D-E376-450F-AB9F-CB9CA206887C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RALLY X SUC</vt:lpstr>
      <vt:lpstr>ASOCIADOS GANADORES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JAIR SANCHEZ OSORIO</dc:creator>
  <cp:lastModifiedBy>Jonathan Dariel CORRALES LIZARRAGA</cp:lastModifiedBy>
  <dcterms:created xsi:type="dcterms:W3CDTF">2026-04-22T21:47:39Z</dcterms:created>
  <dcterms:modified xsi:type="dcterms:W3CDTF">2026-06-17T17:56:02Z</dcterms:modified>
</cp:coreProperties>
</file>